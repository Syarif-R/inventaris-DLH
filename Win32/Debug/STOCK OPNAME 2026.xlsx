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jpeg" ContentType="image/jpeg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13.xml" ContentType="application/vnd.openxmlformats-officedocument.drawing+xml"/>
  <Override PartName="/xl/worksheets/sheet1.xml" ContentType="application/vnd.openxmlformats-officedocument.spreadsheetml.workshee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0" yWindow="140" windowWidth="19140" windowHeight="7090" firstSheet="3" activeTab="8"/>
  </bookViews>
  <sheets>
    <sheet name="SALDO AWAL" sheetId="1" r:id="rId1"/>
    <sheet name="JANUARI" sheetId="2" r:id="rId2"/>
    <sheet name="FEBRUARI" sheetId="3" r:id="rId3"/>
    <sheet name="MARET" sheetId="4" r:id="rId4"/>
    <sheet name="APRIL" sheetId="5" r:id="rId5"/>
    <sheet name="MEI" sheetId="6" r:id="rId6"/>
    <sheet name="JUNI" sheetId="7" r:id="rId7"/>
    <sheet name="JULI" sheetId="8" r:id="rId8"/>
    <sheet name="AGUSTUS" sheetId="9" r:id="rId9"/>
    <sheet name="SEPTEMBER" sheetId="10" r:id="rId10"/>
    <sheet name="OKTOBER" sheetId="11" r:id="rId11"/>
    <sheet name="NOVEMBER" sheetId="12" r:id="rId12"/>
    <sheet name="DESEMBER" sheetId="13" r:id="rId13"/>
  </sheets>
  <calcPr calcId="125725"/>
</workbook>
</file>

<file path=xl/calcChain.xml><?xml version="1.0" encoding="utf-8"?>
<calcChain xmlns="http://schemas.openxmlformats.org/spreadsheetml/2006/main">
  <c r="H37" i="7"/>
  <c r="H38"/>
  <c r="H39"/>
  <c r="H22"/>
  <c r="G59"/>
  <c r="H58"/>
  <c r="F59"/>
  <c r="H44"/>
  <c r="G64"/>
  <c r="F49"/>
  <c r="G49"/>
  <c r="H62"/>
  <c r="H63"/>
  <c r="H61"/>
  <c r="H52"/>
  <c r="H53"/>
  <c r="H54"/>
  <c r="H55"/>
  <c r="H56"/>
  <c r="H57"/>
  <c r="H51"/>
  <c r="H20"/>
  <c r="H21"/>
  <c r="H23"/>
  <c r="H24"/>
  <c r="H25"/>
  <c r="H26"/>
  <c r="H27"/>
  <c r="H28"/>
  <c r="H29"/>
  <c r="H30"/>
  <c r="H31"/>
  <c r="H32"/>
  <c r="H33"/>
  <c r="H34"/>
  <c r="H35"/>
  <c r="H36"/>
  <c r="H40"/>
  <c r="H41"/>
  <c r="H42"/>
  <c r="H43"/>
  <c r="H45"/>
  <c r="H46"/>
  <c r="H47"/>
  <c r="H48"/>
  <c r="H64" l="1"/>
  <c r="H59"/>
  <c r="G66"/>
  <c r="F66"/>
  <c r="H49"/>
  <c r="H66" l="1"/>
</calcChain>
</file>

<file path=xl/sharedStrings.xml><?xml version="1.0" encoding="utf-8"?>
<sst xmlns="http://schemas.openxmlformats.org/spreadsheetml/2006/main" count="2319" uniqueCount="194">
  <si>
    <t>PEMERINTAH KOTA BANJARMASIN</t>
  </si>
  <si>
    <t xml:space="preserve">DINAS LINGKUNGAN HIDUP </t>
  </si>
  <si>
    <t>Jalan R.E. Martadinata No.1 Banjarmasin 70111</t>
  </si>
  <si>
    <t>Telepon ( 0511) 3363792 – 4368145 Faks  ( 0511) 3363792</t>
  </si>
  <si>
    <t>Email : dlhbanjarmasin@gmail.com Website : dlh.banjarmasinkota.go.id</t>
  </si>
  <si>
    <t>BERITA ACARA STOCK OPNAME PERSEDIAAN ATK &amp; BARANG PAKAI HABIS</t>
  </si>
  <si>
    <t>NOMOR : 000.2.3.1 / 1625 /Set-DLH /2025</t>
  </si>
  <si>
    <t xml:space="preserve">Pada Hari Rabu Tanggal Tiga Puluh Satu Bulan Desember Tahun Dua Ribu Dua Puluh Lima, telah Dilaksanakan Stock Opname fisik </t>
  </si>
  <si>
    <t xml:space="preserve">Persediaan oleh Bendahara Barang yang disaksikan oleh Sekretaris. Dari hasil stock opname diketahui nilai persediaan per bulan </t>
  </si>
  <si>
    <r>
      <t xml:space="preserve">Desember tahun Dua Ribu Dua Puluh Lima sebesar </t>
    </r>
    <r>
      <rPr>
        <b/>
        <sz val="9"/>
        <rFont val="Tahoma"/>
        <family val="2"/>
      </rPr>
      <t xml:space="preserve">Rp. 209,639,910.00,- </t>
    </r>
    <r>
      <rPr>
        <sz val="9"/>
        <rFont val="Tahoma"/>
        <family val="2"/>
      </rPr>
      <t xml:space="preserve"> dengan perincian sebagai berikut :</t>
    </r>
  </si>
  <si>
    <t>Kode Rekening</t>
  </si>
  <si>
    <t>Nama Persediaan</t>
  </si>
  <si>
    <t>Sisa Bulan Lalu</t>
  </si>
  <si>
    <t>Satuan</t>
  </si>
  <si>
    <t>Jumlah</t>
  </si>
  <si>
    <t>Harga/Unit</t>
  </si>
  <si>
    <t>Total</t>
  </si>
  <si>
    <t>BAHAN/BIBIT TANAMAN</t>
  </si>
  <si>
    <t>117.01.01.08.002.035</t>
  </si>
  <si>
    <t>Pohon Ulin</t>
  </si>
  <si>
    <t>Polybag</t>
  </si>
  <si>
    <t>117.01.01.08.002.066</t>
  </si>
  <si>
    <t>Sari Gading</t>
  </si>
  <si>
    <t>117.01.01.08.002.067</t>
  </si>
  <si>
    <t>Teh Tehan</t>
  </si>
  <si>
    <t>Total :</t>
  </si>
  <si>
    <t>ALAT TULIS KANTOR</t>
  </si>
  <si>
    <t>117.01.03.01.002.004</t>
  </si>
  <si>
    <t xml:space="preserve">Bak Stempel </t>
  </si>
  <si>
    <t>Buah</t>
  </si>
  <si>
    <t>117.01.03.01.002.001</t>
  </si>
  <si>
    <t>Tinta Stempel</t>
  </si>
  <si>
    <t>117.01.03.01.014.025</t>
  </si>
  <si>
    <t>Buku Agenda Surat Masuk/Keluar</t>
  </si>
  <si>
    <t>117.01.03.01.003.019</t>
  </si>
  <si>
    <t>Trigonal Clip No. 3</t>
  </si>
  <si>
    <t>Kotak</t>
  </si>
  <si>
    <t>117.01.03.01.016.008</t>
  </si>
  <si>
    <t>Punch 30 XL</t>
  </si>
  <si>
    <t>buah</t>
  </si>
  <si>
    <t>117.01.03.01.016.039</t>
  </si>
  <si>
    <t>Punch 85XL</t>
  </si>
  <si>
    <t>117.01.03.01.016.016</t>
  </si>
  <si>
    <t>Post It Sign Here</t>
  </si>
  <si>
    <t>117.01.03.01.004.006</t>
  </si>
  <si>
    <t>Correction Tape</t>
  </si>
  <si>
    <t>117.01.03.01.003.020</t>
  </si>
  <si>
    <t>Trigonal clip no.1</t>
  </si>
  <si>
    <t>117.01.03.01.001.042</t>
  </si>
  <si>
    <t>Odner Folio</t>
  </si>
  <si>
    <t>117.01.03.01.003.025</t>
  </si>
  <si>
    <t>Paper Clip No. 5</t>
  </si>
  <si>
    <t>117.01.03.01.005.012</t>
  </si>
  <si>
    <t>Buku Kwarto</t>
  </si>
  <si>
    <t>117.01.03.01.005.015</t>
  </si>
  <si>
    <t>Buku Ekspedisi 100 hal sekualitas kuarto</t>
  </si>
  <si>
    <t>117.01.03.01.005.027</t>
  </si>
  <si>
    <t>Binder Type 260</t>
  </si>
  <si>
    <t>117.01.03.01.005.028</t>
  </si>
  <si>
    <t>Binder Type 200</t>
  </si>
  <si>
    <t>117.01.03.01.003.012</t>
  </si>
  <si>
    <t>Binder Clips Type No.105</t>
  </si>
  <si>
    <t>117.01.03.01.003.013</t>
  </si>
  <si>
    <t>Binder Clips Type No.107</t>
  </si>
  <si>
    <t>117.01.03.01.003.015</t>
  </si>
  <si>
    <t>Binder Clips Type No.155</t>
  </si>
  <si>
    <t>117.01.03.01.003.014</t>
  </si>
  <si>
    <t>Binder Clips Type No.111</t>
  </si>
  <si>
    <t>117.01.03.01.001.021</t>
  </si>
  <si>
    <t>Spidol Whiteboard</t>
  </si>
  <si>
    <t>117.01.03.01.001.026</t>
  </si>
  <si>
    <t>Spidol Permanen</t>
  </si>
  <si>
    <t>117.01.03.01.001.027</t>
  </si>
  <si>
    <t>Stabilo</t>
  </si>
  <si>
    <t>117.01.03.01.016.006</t>
  </si>
  <si>
    <t>Post it 654</t>
  </si>
  <si>
    <t>117.01.03.01.001.123</t>
  </si>
  <si>
    <t>Post it 655</t>
  </si>
  <si>
    <t>117.01.03.01.006.015</t>
  </si>
  <si>
    <t>Map Kertas Biasa</t>
  </si>
  <si>
    <t>Pak</t>
  </si>
  <si>
    <t>117.01.03.01.001.143</t>
  </si>
  <si>
    <t>Penggaris Besi</t>
  </si>
  <si>
    <t>117.01.03.01.013.004</t>
  </si>
  <si>
    <t>Isi Staples Kecil</t>
  </si>
  <si>
    <t>117.01.03.01.013.005</t>
  </si>
  <si>
    <t>Isi Staples No.3</t>
  </si>
  <si>
    <t>117.01.03.01.013.008</t>
  </si>
  <si>
    <t>Isi Staples No. 10</t>
  </si>
  <si>
    <t>117.01.03.01.012.007</t>
  </si>
  <si>
    <t>Stapler HD 50</t>
  </si>
  <si>
    <t>117.01.03.01.004.004</t>
  </si>
  <si>
    <t>Penghapus Pensil</t>
  </si>
  <si>
    <t>117.01.03.01.016.004</t>
  </si>
  <si>
    <t>Lakban Transparan</t>
  </si>
  <si>
    <t>117.01.03.01.008.002</t>
  </si>
  <si>
    <t>Gunting</t>
  </si>
  <si>
    <t>117.01.03.01.008.001</t>
  </si>
  <si>
    <t>Cutter L-500</t>
  </si>
  <si>
    <t>117.01.03.01.016.0227</t>
  </si>
  <si>
    <t>Kertas Carbonless</t>
  </si>
  <si>
    <t>KERTAS DAN COVER</t>
  </si>
  <si>
    <t>117.01.03.02.004.018</t>
  </si>
  <si>
    <t xml:space="preserve">Amplop Putih No. 104 </t>
  </si>
  <si>
    <t>117.01.03.02.004.037</t>
  </si>
  <si>
    <t>Amplop No.110</t>
  </si>
  <si>
    <t>117.01.03.02.004.007</t>
  </si>
  <si>
    <t>Amplop No. 90</t>
  </si>
  <si>
    <t>117.01.03.02.001.032</t>
  </si>
  <si>
    <t>Kertas HVS A3 70 gram</t>
  </si>
  <si>
    <t>Rim</t>
  </si>
  <si>
    <t>117.01.03.02.001.028</t>
  </si>
  <si>
    <t>Kertas HVS A4 80 gram</t>
  </si>
  <si>
    <t>117.01.03.02.001.017</t>
  </si>
  <si>
    <t>Kertas HVS F4/Folio 75 gram</t>
  </si>
  <si>
    <t>PERSEDIAAN UNTUK DIJUAL/DISERAHKAN KEPADA</t>
  </si>
  <si>
    <t>117.01.05.01.008.001</t>
  </si>
  <si>
    <t>Peti Jenazah (anak-anak)</t>
  </si>
  <si>
    <t>117.01.05.01.008.002</t>
  </si>
  <si>
    <t>Peralatan Kematian (anak-anak)</t>
  </si>
  <si>
    <t>117.01.05.01.008.054</t>
  </si>
  <si>
    <t>Tempat Sampah Karet Ban</t>
  </si>
  <si>
    <t>TOTAL KESELURUHAN</t>
  </si>
  <si>
    <t>Demikian Berita Acara ini dibuat dengan sebenarnya untuk dapat dipergunakan sebagaimana mestinya.</t>
  </si>
  <si>
    <t>Banjarmasin, 31 Desember 2025</t>
  </si>
  <si>
    <t>Plt.Kasubbag. Umum &amp; Kepegawaian,</t>
  </si>
  <si>
    <t>Pengurus Barang</t>
  </si>
  <si>
    <t>SELAMAT RIYANTO, S.Sos</t>
  </si>
  <si>
    <t>H.HUSAINI</t>
  </si>
  <si>
    <t>NIP. 19750530 200501 1 009</t>
  </si>
  <si>
    <t>NIP.19730705 201406 1 007</t>
  </si>
  <si>
    <t>Mengetahui :</t>
  </si>
  <si>
    <t>Kepala Dinas,</t>
  </si>
  <si>
    <t>ALIVE YOESFAH LOVE, S.IP</t>
  </si>
  <si>
    <t>NIP. 196811071989031009</t>
  </si>
  <si>
    <t>Banjarmasin, 30 Januari 2026</t>
  </si>
  <si>
    <t xml:space="preserve">Pada Hari Jumat Tanggal Tiga Puluh Bulan Januari Tahun Dua Ribu Dua Puluh Enam, telah Dilaksanakan Stock Opname fisik </t>
  </si>
  <si>
    <t>NOMOR : 000.2.3.1 /      /Set-DLH /2026</t>
  </si>
  <si>
    <t>Banjarmasin, 27 Februari 2026</t>
  </si>
  <si>
    <t xml:space="preserve">Pada Hari Jumat Tanggal Dua Puluh Tujuh Bulan Februari Tahun Dua Ribu Dua Puluh Enam, telah Dilaksanakan Stock Opname fisik </t>
  </si>
  <si>
    <t xml:space="preserve">Pada Hari Selasa Tanggal Tiga Puluh Satu Bulan Maret Tahun Dua Ribu Dua Puluh Enam, telah Dilaksanakan Stock Opname fisik </t>
  </si>
  <si>
    <t>Banjarmasin, 31 Maret 2026</t>
  </si>
  <si>
    <r>
      <t xml:space="preserve">Desember tahun Dua Ribu Dua Puluh Lima sebesar </t>
    </r>
    <r>
      <rPr>
        <b/>
        <sz val="9"/>
        <rFont val="Tahoma"/>
        <family val="2"/>
      </rPr>
      <t xml:space="preserve">Rp. .00,- </t>
    </r>
    <r>
      <rPr>
        <sz val="9"/>
        <rFont val="Tahoma"/>
        <family val="2"/>
      </rPr>
      <t xml:space="preserve"> dengan perincian sebagai berikut :</t>
    </r>
  </si>
  <si>
    <t xml:space="preserve">Pada Hari Kamis Tanggal Tiga Puluh Bulan April Tahun Dua Ribu Dua Puluh Enam, telah Dilaksanakan Stock Opname fisik </t>
  </si>
  <si>
    <t>Banjarmasin, 30 April 2026</t>
  </si>
  <si>
    <t xml:space="preserve">Pada Hari Jumatr Tanggal Dua Puluh Sembilan Bulan Mei Tahun Dua Ribu Dua Puluh Enam, telah Dilaksanakan Stock Opname fisik </t>
  </si>
  <si>
    <t>Banjarmasin, 29 Mei 2026</t>
  </si>
  <si>
    <t xml:space="preserve">Pada Hari Selasa Tanggal Tiga Puluh Bulan Juni Tahun Dua Ribu Dua Puluh Enam, telah Dilaksanakan Stock Opname fisik </t>
  </si>
  <si>
    <t>Banjarmasin, 30 Juni 2026</t>
  </si>
  <si>
    <t xml:space="preserve">Pada Hari Jumat Tanggal Tiga Puluh Satu Bulan Juli Tahun Dua Ribu Dua Puluh Enam, telah Dilaksanakan Stock Opname fisik </t>
  </si>
  <si>
    <t>Banjarmasin, 31 Juli 2026</t>
  </si>
  <si>
    <t xml:space="preserve">Pada Hari Senin Tanggal Tiga Puluh Satu Bulan Agustus Tahun Dua Ribu Dua Puluh Enam, telah Dilaksanakan Stock Opname fisik </t>
  </si>
  <si>
    <t xml:space="preserve">Pada Hari Rabu Tanggal Tiga Puluh Bulan September Tahun Dua Ribu Dua Puluh Enam, telah Dilaksanakan Stock Opname fisik </t>
  </si>
  <si>
    <t>Banjarmasin, 30 September 2026</t>
  </si>
  <si>
    <t xml:space="preserve">Pada Hari Jumat Tanggal Tiga Puluh Bulan Oktober Tahun Dua Ribu Dua Puluh Enam, telah Dilaksanakan Stock Opname fisik </t>
  </si>
  <si>
    <t>Banjarmasin, 30 Oktober 2026</t>
  </si>
  <si>
    <t xml:space="preserve">Pada Hari Senin Tanggal Tiga Puluh Bulan November Tahun Dua Ribu Dua Puluh Enam, telah Dilaksanakan Stock Opname fisik </t>
  </si>
  <si>
    <t>Banjarmasin, 30 November 2026</t>
  </si>
  <si>
    <t xml:space="preserve">Pada Hari Kamis Tanggal Tiga Puluh Satu Bulan Desember Tahun Dua Ribu Dua Puluh Enam, telah Dilaksanakan Stock Opname fisik </t>
  </si>
  <si>
    <t>Banjarmasin, 31 Desember 2026</t>
  </si>
  <si>
    <t>NIP. 198103311999121001</t>
  </si>
  <si>
    <t>JEFRIE FRANSYAH, S.H M.H.</t>
  </si>
  <si>
    <t>NIP. 196841019 201001 1 012</t>
  </si>
  <si>
    <t>Kasubbag. Umum &amp; Kepegawaian,</t>
  </si>
  <si>
    <t>NIP. 19790124 201001 2 011</t>
  </si>
  <si>
    <t>LISNAWATI, S.KM. M. Ling</t>
  </si>
  <si>
    <t>ICHROM MUFTEZAR, SSTP, M. SI</t>
  </si>
  <si>
    <t>Plt.Kepala Dinas,</t>
  </si>
  <si>
    <t>Map Plastik</t>
  </si>
  <si>
    <t>Post it 654 (76x76)</t>
  </si>
  <si>
    <t>Lem Stick</t>
  </si>
  <si>
    <t>Pulpen Cetekan</t>
  </si>
  <si>
    <t>Pulpen Balliner</t>
  </si>
  <si>
    <t>Display Book</t>
  </si>
  <si>
    <t>Kertas HVS F4 Warna</t>
  </si>
  <si>
    <t>Pensil 2B</t>
  </si>
  <si>
    <t>117.01.03.01.001.025</t>
  </si>
  <si>
    <t>117.01.03.01.006.014</t>
  </si>
  <si>
    <t>117.01.03.01.010.008</t>
  </si>
  <si>
    <t>117.01.03.01.006.031</t>
  </si>
  <si>
    <t>117.01.03.01.001.158</t>
  </si>
  <si>
    <t>117.01.03.02.001.018</t>
  </si>
  <si>
    <t>117.01.03.01.012.006</t>
  </si>
  <si>
    <t>Stapler HD 10</t>
  </si>
  <si>
    <t>117.01.01.003.1</t>
  </si>
  <si>
    <t>NOMOR : 000.2.3.1 / 1153 /Set-DLH /2026</t>
  </si>
  <si>
    <t>Isolasi Bening</t>
  </si>
  <si>
    <t>117.01.03.01.010</t>
  </si>
  <si>
    <t>Lakban Bening</t>
  </si>
  <si>
    <t>Sticky Note</t>
  </si>
  <si>
    <t>Kertas Photo</t>
  </si>
  <si>
    <t>117.01.03.02.03</t>
  </si>
  <si>
    <r>
      <t xml:space="preserve">Desember tahun Dua Ribu Dua Puluh Lima sebesar </t>
    </r>
    <r>
      <rPr>
        <b/>
        <sz val="9"/>
        <rFont val="Tahoma"/>
        <family val="2"/>
      </rPr>
      <t xml:space="preserve">Rp.191.486.085.00,- </t>
    </r>
    <r>
      <rPr>
        <sz val="9"/>
        <rFont val="Tahoma"/>
        <family val="2"/>
      </rPr>
      <t xml:space="preserve"> dengan perincian sebagai berikut :</t>
    </r>
  </si>
  <si>
    <t>Banjarmasin, 31 Agustus 2026</t>
  </si>
</sst>
</file>

<file path=xl/styles.xml><?xml version="1.0" encoding="utf-8"?>
<styleSheet xmlns="http://schemas.openxmlformats.org/spreadsheetml/2006/main">
  <numFmts count="2">
    <numFmt numFmtId="42" formatCode="_-&quot;Rp&quot;* #,##0_-;\-&quot;Rp&quot;* #,##0_-;_-&quot;Rp&quot;* &quot;-&quot;_-;_-@_-"/>
    <numFmt numFmtId="164" formatCode="_(* #,##0.00_);_(* \(#,##0.00\);_(* &quot;-&quot;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u/>
      <sz val="11"/>
      <color theme="10"/>
      <name val="Calibri"/>
      <family val="2"/>
    </font>
    <font>
      <b/>
      <u/>
      <sz val="10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b/>
      <sz val="9"/>
      <color theme="1"/>
      <name val="Tahoma"/>
      <family val="2"/>
    </font>
    <font>
      <sz val="10"/>
      <color theme="1"/>
      <name val="Tahoma"/>
      <family val="2"/>
    </font>
    <font>
      <sz val="11"/>
      <color theme="1"/>
      <name val="Calibri"/>
      <family val="2"/>
      <charset val="1"/>
      <scheme val="minor"/>
    </font>
    <font>
      <sz val="11"/>
      <color theme="1"/>
      <name val="Tahoma"/>
      <family val="2"/>
    </font>
    <font>
      <u/>
      <sz val="11"/>
      <color theme="10"/>
      <name val="Tahoma"/>
      <family val="2"/>
    </font>
    <font>
      <sz val="1"/>
      <color theme="1"/>
      <name val="Tahoma"/>
      <family val="2"/>
    </font>
    <font>
      <sz val="14"/>
      <color theme="1"/>
      <name val="Tahoma"/>
      <family val="2"/>
    </font>
    <font>
      <b/>
      <sz val="18"/>
      <color theme="1"/>
      <name val="Tahoma"/>
      <family val="2"/>
    </font>
    <font>
      <sz val="9"/>
      <color theme="1"/>
      <name val="Tahoma"/>
      <family val="2"/>
    </font>
    <font>
      <sz val="9"/>
      <name val="Tahoma"/>
      <family val="2"/>
    </font>
    <font>
      <sz val="9"/>
      <color rgb="FF000000"/>
      <name val="Tahoma"/>
      <family val="2"/>
    </font>
    <font>
      <b/>
      <sz val="9"/>
      <name val="Tahoma"/>
      <family val="2"/>
    </font>
    <font>
      <b/>
      <sz val="9"/>
      <color rgb="FF000000"/>
      <name val="Tahoma"/>
      <family val="2"/>
    </font>
    <font>
      <b/>
      <u/>
      <sz val="9"/>
      <name val="Tahoma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ACD7E6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/>
      <right style="thin">
        <color rgb="FF2B2B2B"/>
      </right>
      <top style="thin">
        <color rgb="FF2B2B2B"/>
      </top>
      <bottom style="thin">
        <color rgb="FF2B2B2B"/>
      </bottom>
      <diagonal/>
    </border>
    <border>
      <left/>
      <right/>
      <top/>
      <bottom style="thin">
        <color rgb="FF2B2B2B"/>
      </bottom>
      <diagonal/>
    </border>
    <border>
      <left style="thin">
        <color rgb="FF2B2B2B"/>
      </left>
      <right/>
      <top style="thin">
        <color rgb="FF2B2B2B"/>
      </top>
      <bottom style="thin">
        <color rgb="FF2B2B2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/>
      <diagonal/>
    </border>
    <border>
      <left style="thin">
        <color rgb="FF2B2B2B"/>
      </left>
      <right style="thin">
        <color rgb="FF2B2B2B"/>
      </right>
      <top/>
      <bottom style="thin">
        <color rgb="FF2B2B2B"/>
      </bottom>
      <diagonal/>
    </border>
    <border>
      <left/>
      <right/>
      <top style="thin">
        <color rgb="FF2B2B2B"/>
      </top>
      <bottom style="thin">
        <color rgb="FF2B2B2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2">
    <xf numFmtId="0" fontId="0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0" fontId="9" fillId="0" borderId="0"/>
    <xf numFmtId="0" fontId="21" fillId="0" borderId="0"/>
    <xf numFmtId="42" fontId="21" fillId="0" borderId="0" applyFont="0" applyFill="0" applyBorder="0" applyAlignment="0" applyProtection="0"/>
    <xf numFmtId="0" fontId="1" fillId="0" borderId="0"/>
    <xf numFmtId="0" fontId="21" fillId="0" borderId="0"/>
    <xf numFmtId="0" fontId="21" fillId="0" borderId="0" applyFont="0" applyFill="0" applyBorder="0" applyAlignment="0" applyProtection="0"/>
  </cellStyleXfs>
  <cellXfs count="137">
    <xf numFmtId="0" fontId="0" fillId="0" borderId="0" xfId="0"/>
    <xf numFmtId="0" fontId="0" fillId="0" borderId="0" xfId="0"/>
    <xf numFmtId="4" fontId="17" fillId="0" borderId="2" xfId="0" applyNumberFormat="1" applyFont="1" applyBorder="1" applyAlignment="1">
      <alignment horizontal="right" vertical="center" wrapText="1" shrinkToFit="1"/>
    </xf>
    <xf numFmtId="4" fontId="19" fillId="0" borderId="2" xfId="0" applyNumberFormat="1" applyFont="1" applyBorder="1" applyAlignment="1">
      <alignment horizontal="right" vertical="center" wrapText="1" shrinkToFit="1"/>
    </xf>
    <xf numFmtId="0" fontId="16" fillId="0" borderId="0" xfId="0" applyFont="1" applyAlignment="1">
      <alignment horizontal="center" vertical="center" wrapText="1"/>
    </xf>
    <xf numFmtId="1" fontId="17" fillId="0" borderId="2" xfId="0" applyNumberFormat="1" applyFont="1" applyBorder="1" applyAlignment="1">
      <alignment horizontal="center" vertical="center" shrinkToFit="1"/>
    </xf>
    <xf numFmtId="0" fontId="10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/>
    </xf>
    <xf numFmtId="0" fontId="12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0" fontId="16" fillId="0" borderId="0" xfId="0" applyFont="1" applyAlignment="1">
      <alignment horizontal="left" vertical="center" wrapText="1"/>
    </xf>
    <xf numFmtId="0" fontId="7" fillId="0" borderId="2" xfId="4" applyFont="1" applyBorder="1" applyAlignment="1">
      <alignment horizontal="center" vertical="center" wrapText="1"/>
    </xf>
    <xf numFmtId="0" fontId="7" fillId="0" borderId="2" xfId="5" applyFont="1" applyBorder="1" applyAlignment="1">
      <alignment horizontal="center" vertical="center" wrapText="1"/>
    </xf>
    <xf numFmtId="0" fontId="22" fillId="0" borderId="0" xfId="0" applyFont="1" applyAlignment="1">
      <alignment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23" fillId="0" borderId="0" xfId="0" applyFont="1" applyAlignment="1"/>
    <xf numFmtId="0" fontId="7" fillId="0" borderId="2" xfId="4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" xfId="5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23" fillId="0" borderId="0" xfId="0" applyFont="1"/>
    <xf numFmtId="0" fontId="23" fillId="0" borderId="0" xfId="0" applyFont="1" applyAlignment="1">
      <alignment vertical="center"/>
    </xf>
    <xf numFmtId="0" fontId="23" fillId="0" borderId="0" xfId="0" applyFont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1" fontId="24" fillId="0" borderId="2" xfId="0" applyNumberFormat="1" applyFont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/>
    </xf>
    <xf numFmtId="4" fontId="24" fillId="0" borderId="2" xfId="0" applyNumberFormat="1" applyFont="1" applyBorder="1" applyAlignment="1">
      <alignment horizontal="right" vertical="center" shrinkToFit="1"/>
    </xf>
    <xf numFmtId="1" fontId="25" fillId="0" borderId="2" xfId="0" applyNumberFormat="1" applyFont="1" applyBorder="1" applyAlignment="1">
      <alignment horizontal="center" vertical="center" shrinkToFit="1"/>
    </xf>
    <xf numFmtId="1" fontId="25" fillId="0" borderId="2" xfId="1" applyNumberFormat="1" applyFont="1" applyBorder="1" applyAlignment="1">
      <alignment horizontal="center" vertical="center" shrinkToFit="1"/>
    </xf>
    <xf numFmtId="0" fontId="26" fillId="0" borderId="2" xfId="5" applyFont="1" applyBorder="1" applyAlignment="1">
      <alignment horizontal="center" vertical="center"/>
    </xf>
    <xf numFmtId="0" fontId="6" fillId="0" borderId="2" xfId="4" applyFont="1" applyBorder="1" applyAlignment="1">
      <alignment vertical="center"/>
    </xf>
    <xf numFmtId="0" fontId="6" fillId="0" borderId="2" xfId="7" applyFont="1" applyBorder="1" applyAlignment="1">
      <alignment horizontal="center" vertical="center"/>
    </xf>
    <xf numFmtId="4" fontId="6" fillId="0" borderId="2" xfId="0" applyNumberFormat="1" applyFont="1" applyBorder="1" applyAlignment="1">
      <alignment horizontal="right" vertical="center" shrinkToFit="1"/>
    </xf>
    <xf numFmtId="0" fontId="6" fillId="4" borderId="2" xfId="7" applyFont="1" applyFill="1" applyBorder="1" applyAlignment="1">
      <alignment horizontal="center" vertical="center"/>
    </xf>
    <xf numFmtId="0" fontId="15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164" fontId="15" fillId="0" borderId="6" xfId="1" applyFont="1" applyFill="1" applyBorder="1" applyAlignment="1">
      <alignment horizontal="right" vertical="top" wrapText="1"/>
    </xf>
    <xf numFmtId="0" fontId="16" fillId="0" borderId="3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 wrapText="1"/>
    </xf>
    <xf numFmtId="4" fontId="5" fillId="0" borderId="2" xfId="0" applyNumberFormat="1" applyFont="1" applyBorder="1" applyAlignment="1">
      <alignment horizontal="right" vertical="center" shrinkToFit="1"/>
    </xf>
    <xf numFmtId="0" fontId="6" fillId="0" borderId="2" xfId="7" applyFont="1" applyFill="1" applyBorder="1" applyAlignment="1">
      <alignment horizontal="center" vertical="center"/>
    </xf>
    <xf numFmtId="1" fontId="24" fillId="0" borderId="2" xfId="0" applyNumberFormat="1" applyFont="1" applyFill="1" applyBorder="1" applyAlignment="1">
      <alignment horizontal="center" vertical="center" shrinkToFit="1"/>
    </xf>
    <xf numFmtId="0" fontId="6" fillId="0" borderId="2" xfId="0" applyFont="1" applyFill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164" fontId="6" fillId="0" borderId="2" xfId="11" applyNumberFormat="1" applyFont="1" applyFill="1" applyBorder="1" applyAlignment="1">
      <alignment horizontal="right" vertical="center" wrapText="1"/>
    </xf>
    <xf numFmtId="0" fontId="5" fillId="4" borderId="2" xfId="7" applyFont="1" applyFill="1" applyBorder="1" applyAlignment="1">
      <alignment horizontal="center" vertical="center"/>
    </xf>
    <xf numFmtId="164" fontId="5" fillId="0" borderId="2" xfId="11" applyNumberFormat="1" applyFont="1" applyFill="1" applyBorder="1" applyAlignment="1">
      <alignment horizontal="right" vertical="center" wrapText="1"/>
    </xf>
    <xf numFmtId="0" fontId="16" fillId="0" borderId="5" xfId="0" applyFont="1" applyBorder="1" applyAlignment="1">
      <alignment horizontal="center" vertical="center"/>
    </xf>
    <xf numFmtId="1" fontId="24" fillId="0" borderId="6" xfId="0" applyNumberFormat="1" applyFont="1" applyFill="1" applyBorder="1" applyAlignment="1">
      <alignment horizontal="center" vertical="center" shrinkToFit="1"/>
    </xf>
    <xf numFmtId="4" fontId="17" fillId="0" borderId="10" xfId="0" applyNumberFormat="1" applyFont="1" applyFill="1" applyBorder="1" applyAlignment="1">
      <alignment horizontal="right" vertical="top" shrinkToFit="1"/>
    </xf>
    <xf numFmtId="0" fontId="8" fillId="0" borderId="6" xfId="0" applyFont="1" applyBorder="1" applyAlignment="1">
      <alignment horizontal="center"/>
    </xf>
    <xf numFmtId="0" fontId="24" fillId="0" borderId="6" xfId="0" applyFont="1" applyFill="1" applyBorder="1" applyAlignment="1">
      <alignment horizontal="center" vertical="top" wrapText="1"/>
    </xf>
    <xf numFmtId="1" fontId="25" fillId="0" borderId="8" xfId="0" applyNumberFormat="1" applyFont="1" applyBorder="1" applyAlignment="1">
      <alignment horizontal="center" vertical="center" shrinkToFit="1"/>
    </xf>
    <xf numFmtId="164" fontId="15" fillId="0" borderId="2" xfId="1" applyFont="1" applyFill="1" applyBorder="1" applyAlignment="1">
      <alignment horizontal="right" vertical="center" wrapText="1"/>
    </xf>
    <xf numFmtId="4" fontId="17" fillId="0" borderId="2" xfId="0" applyNumberFormat="1" applyFont="1" applyFill="1" applyBorder="1" applyAlignment="1">
      <alignment horizontal="right" vertical="center" wrapText="1" shrinkToFit="1"/>
    </xf>
    <xf numFmtId="1" fontId="17" fillId="0" borderId="6" xfId="0" applyNumberFormat="1" applyFont="1" applyFill="1" applyBorder="1" applyAlignment="1">
      <alignment horizontal="center" vertical="center" shrinkToFit="1"/>
    </xf>
    <xf numFmtId="0" fontId="15" fillId="0" borderId="6" xfId="0" applyFont="1" applyFill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1" fontId="17" fillId="0" borderId="6" xfId="0" applyNumberFormat="1" applyFont="1" applyBorder="1" applyAlignment="1">
      <alignment horizontal="center" vertical="center" shrinkToFit="1"/>
    </xf>
    <xf numFmtId="0" fontId="16" fillId="0" borderId="6" xfId="0" applyFont="1" applyBorder="1" applyAlignment="1">
      <alignment horizontal="center" vertical="center"/>
    </xf>
    <xf numFmtId="4" fontId="17" fillId="0" borderId="6" xfId="0" applyNumberFormat="1" applyFont="1" applyBorder="1" applyAlignment="1">
      <alignment horizontal="right" vertical="center" wrapText="1" shrinkToFit="1"/>
    </xf>
    <xf numFmtId="0" fontId="16" fillId="0" borderId="6" xfId="0" applyFont="1" applyFill="1" applyBorder="1" applyAlignment="1">
      <alignment horizontal="left" vertical="center"/>
    </xf>
    <xf numFmtId="0" fontId="16" fillId="0" borderId="6" xfId="0" applyFont="1" applyBorder="1" applyAlignment="1">
      <alignment horizontal="left" vertical="center" wrapText="1"/>
    </xf>
    <xf numFmtId="4" fontId="17" fillId="0" borderId="6" xfId="0" applyNumberFormat="1" applyFont="1" applyFill="1" applyBorder="1" applyAlignment="1">
      <alignment horizontal="right" vertical="top" shrinkToFit="1"/>
    </xf>
    <xf numFmtId="164" fontId="15" fillId="0" borderId="6" xfId="1" applyFont="1" applyFill="1" applyBorder="1" applyAlignment="1">
      <alignment horizontal="right" vertical="center" wrapText="1"/>
    </xf>
    <xf numFmtId="4" fontId="17" fillId="0" borderId="6" xfId="0" applyNumberFormat="1" applyFont="1" applyFill="1" applyBorder="1" applyAlignment="1">
      <alignment horizontal="right" vertical="center" wrapText="1" shrinkToFit="1"/>
    </xf>
    <xf numFmtId="0" fontId="7" fillId="0" borderId="6" xfId="4" applyFont="1" applyBorder="1" applyAlignment="1">
      <alignment horizontal="center" vertical="center"/>
    </xf>
    <xf numFmtId="0" fontId="7" fillId="0" borderId="6" xfId="4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6" xfId="5" applyFont="1" applyBorder="1" applyAlignment="1">
      <alignment horizontal="center" vertical="center"/>
    </xf>
    <xf numFmtId="0" fontId="7" fillId="0" borderId="6" xfId="5" applyFont="1" applyBorder="1" applyAlignment="1">
      <alignment horizontal="center" vertical="center" wrapText="1"/>
    </xf>
    <xf numFmtId="0" fontId="18" fillId="4" borderId="6" xfId="7" applyFont="1" applyFill="1" applyBorder="1" applyAlignment="1">
      <alignment horizontal="center" vertical="center"/>
    </xf>
    <xf numFmtId="164" fontId="18" fillId="0" borderId="6" xfId="11" applyNumberFormat="1" applyFont="1" applyFill="1" applyBorder="1" applyAlignment="1">
      <alignment horizontal="right" vertical="center" wrapText="1"/>
    </xf>
    <xf numFmtId="4" fontId="18" fillId="0" borderId="6" xfId="0" applyNumberFormat="1" applyFont="1" applyBorder="1" applyAlignment="1">
      <alignment horizontal="right" vertical="center" shrinkToFit="1"/>
    </xf>
    <xf numFmtId="1" fontId="19" fillId="0" borderId="6" xfId="0" applyNumberFormat="1" applyFont="1" applyBorder="1" applyAlignment="1">
      <alignment horizontal="center" vertical="center" shrinkToFit="1"/>
    </xf>
    <xf numFmtId="4" fontId="19" fillId="0" borderId="6" xfId="0" applyNumberFormat="1" applyFont="1" applyBorder="1" applyAlignment="1">
      <alignment horizontal="right" vertical="center" wrapText="1" shrinkToFit="1"/>
    </xf>
    <xf numFmtId="4" fontId="17" fillId="0" borderId="6" xfId="0" applyNumberFormat="1" applyFont="1" applyFill="1" applyBorder="1" applyAlignment="1">
      <alignment horizontal="right" vertical="center" shrinkToFit="1"/>
    </xf>
    <xf numFmtId="4" fontId="17" fillId="0" borderId="6" xfId="0" applyNumberFormat="1" applyFont="1" applyBorder="1" applyAlignment="1">
      <alignment horizontal="right" vertical="center" shrinkToFit="1"/>
    </xf>
    <xf numFmtId="1" fontId="19" fillId="0" borderId="6" xfId="1" applyNumberFormat="1" applyFont="1" applyBorder="1" applyAlignment="1">
      <alignment horizontal="center" vertical="center" shrinkToFit="1"/>
    </xf>
    <xf numFmtId="0" fontId="7" fillId="0" borderId="2" xfId="3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2" applyFont="1" applyAlignment="1" applyProtection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6" fillId="0" borderId="4" xfId="0" applyFont="1" applyBorder="1" applyAlignment="1">
      <alignment horizontal="left" vertical="center"/>
    </xf>
    <xf numFmtId="1" fontId="17" fillId="0" borderId="2" xfId="0" applyNumberFormat="1" applyFont="1" applyBorder="1" applyAlignment="1">
      <alignment horizontal="left" vertical="center" wrapText="1" shrinkToFit="1"/>
    </xf>
    <xf numFmtId="0" fontId="15" fillId="5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5" fillId="0" borderId="5" xfId="0" applyFont="1" applyBorder="1" applyAlignment="1">
      <alignment horizontal="right" vertical="center"/>
    </xf>
    <xf numFmtId="0" fontId="5" fillId="0" borderId="9" xfId="0" applyFont="1" applyBorder="1" applyAlignment="1">
      <alignment horizontal="right" vertical="center"/>
    </xf>
    <xf numFmtId="0" fontId="5" fillId="0" borderId="3" xfId="0" applyFont="1" applyBorder="1" applyAlignment="1">
      <alignment horizontal="right" vertical="center"/>
    </xf>
    <xf numFmtId="0" fontId="16" fillId="3" borderId="2" xfId="0" applyFont="1" applyFill="1" applyBorder="1" applyAlignment="1">
      <alignment horizontal="left" vertical="center"/>
    </xf>
    <xf numFmtId="0" fontId="16" fillId="3" borderId="7" xfId="0" applyFont="1" applyFill="1" applyBorder="1" applyAlignment="1">
      <alignment horizontal="left" vertical="center"/>
    </xf>
    <xf numFmtId="0" fontId="16" fillId="0" borderId="2" xfId="0" applyFont="1" applyBorder="1" applyAlignment="1">
      <alignment horizontal="left" vertical="center" wrapText="1"/>
    </xf>
    <xf numFmtId="0" fontId="16" fillId="0" borderId="5" xfId="0" applyFont="1" applyBorder="1" applyAlignment="1">
      <alignment horizontal="left"/>
    </xf>
    <xf numFmtId="0" fontId="16" fillId="0" borderId="3" xfId="0" applyFont="1" applyBorder="1" applyAlignment="1">
      <alignment horizontal="left"/>
    </xf>
    <xf numFmtId="0" fontId="6" fillId="0" borderId="2" xfId="0" applyFont="1" applyFill="1" applyBorder="1" applyAlignment="1">
      <alignment horizontal="left" vertical="center"/>
    </xf>
    <xf numFmtId="0" fontId="16" fillId="0" borderId="5" xfId="0" applyFont="1" applyBorder="1" applyAlignment="1">
      <alignment horizontal="left" vertical="center" wrapText="1"/>
    </xf>
    <xf numFmtId="0" fontId="16" fillId="0" borderId="3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right" vertical="center"/>
    </xf>
    <xf numFmtId="0" fontId="6" fillId="3" borderId="2" xfId="0" applyFont="1" applyFill="1" applyBorder="1" applyAlignment="1">
      <alignment horizontal="left" vertical="center"/>
    </xf>
    <xf numFmtId="0" fontId="16" fillId="0" borderId="2" xfId="0" applyFont="1" applyBorder="1" applyAlignment="1">
      <alignment horizontal="left"/>
    </xf>
    <xf numFmtId="0" fontId="6" fillId="2" borderId="2" xfId="0" applyFont="1" applyFill="1" applyBorder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8" fillId="3" borderId="2" xfId="0" applyFont="1" applyFill="1" applyBorder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15" fillId="5" borderId="6" xfId="0" applyFont="1" applyFill="1" applyBorder="1" applyAlignment="1">
      <alignment horizontal="left" vertical="center"/>
    </xf>
    <xf numFmtId="0" fontId="15" fillId="0" borderId="6" xfId="0" applyFont="1" applyFill="1" applyBorder="1" applyAlignment="1">
      <alignment horizontal="center" vertical="center"/>
    </xf>
    <xf numFmtId="0" fontId="18" fillId="0" borderId="6" xfId="0" applyFont="1" applyBorder="1" applyAlignment="1">
      <alignment horizontal="right" vertical="center"/>
    </xf>
    <xf numFmtId="0" fontId="7" fillId="0" borderId="6" xfId="3" applyFont="1" applyBorder="1" applyAlignment="1">
      <alignment horizontal="center" vertical="center" wrapText="1"/>
    </xf>
    <xf numFmtId="0" fontId="16" fillId="0" borderId="0" xfId="0" applyFont="1" applyBorder="1" applyAlignment="1">
      <alignment horizontal="left" vertical="center"/>
    </xf>
    <xf numFmtId="0" fontId="16" fillId="3" borderId="6" xfId="0" applyFont="1" applyFill="1" applyBorder="1" applyAlignment="1">
      <alignment horizontal="left" vertical="center"/>
    </xf>
    <xf numFmtId="0" fontId="16" fillId="0" borderId="6" xfId="0" applyFont="1" applyBorder="1" applyAlignment="1">
      <alignment horizontal="left" vertical="center" wrapText="1"/>
    </xf>
    <xf numFmtId="0" fontId="16" fillId="0" borderId="6" xfId="0" applyFont="1" applyFill="1" applyBorder="1" applyAlignment="1">
      <alignment horizontal="left" vertical="center"/>
    </xf>
    <xf numFmtId="0" fontId="16" fillId="0" borderId="6" xfId="0" applyFont="1" applyBorder="1" applyAlignment="1">
      <alignment horizontal="left"/>
    </xf>
    <xf numFmtId="0" fontId="16" fillId="0" borderId="6" xfId="0" applyFont="1" applyBorder="1" applyAlignment="1">
      <alignment horizontal="left" vertical="center"/>
    </xf>
    <xf numFmtId="0" fontId="18" fillId="3" borderId="6" xfId="0" applyFont="1" applyFill="1" applyBorder="1" applyAlignment="1">
      <alignment horizontal="left" vertical="center"/>
    </xf>
    <xf numFmtId="0" fontId="16" fillId="2" borderId="6" xfId="0" applyFont="1" applyFill="1" applyBorder="1" applyAlignment="1">
      <alignment horizontal="left" vertical="center"/>
    </xf>
    <xf numFmtId="0" fontId="15" fillId="0" borderId="6" xfId="0" applyFont="1" applyFill="1" applyBorder="1" applyAlignment="1">
      <alignment horizontal="left"/>
    </xf>
  </cellXfs>
  <cellStyles count="12">
    <cellStyle name="Comma 2" xfId="1"/>
    <cellStyle name="Currency [0] 6" xfId="8"/>
    <cellStyle name="Currency [0] 6 2" xfId="11"/>
    <cellStyle name="Hyperlink" xfId="2" builtinId="8"/>
    <cellStyle name="Normal" xfId="0" builtinId="0"/>
    <cellStyle name="Normal 2" xfId="4"/>
    <cellStyle name="Normal 3" xfId="6"/>
    <cellStyle name="Normal 4" xfId="3"/>
    <cellStyle name="Normal 5" xfId="5"/>
    <cellStyle name="Normal 6" xfId="7"/>
    <cellStyle name="Normal 7" xfId="9"/>
    <cellStyle name="Normal 8" xfId="1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6350</xdr:colOff>
      <xdr:row>4</xdr:row>
      <xdr:rowOff>158872</xdr:rowOff>
    </xdr:to>
    <xdr:pic>
      <xdr:nvPicPr>
        <xdr:cNvPr id="2" name="Picture 10" descr="LOGO PEMKO">
          <a:extLst>
            <a:ext uri="{FF2B5EF4-FFF2-40B4-BE49-F238E27FC236}">
              <a16:creationId xmlns:a16="http://schemas.microsoft.com/office/drawing/2014/main" xmlns="" id="{4F6D4B66-E7AF-4581-984F-96CECD979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685800" cy="1028822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25400</xdr:colOff>
      <xdr:row>4</xdr:row>
      <xdr:rowOff>158872</xdr:rowOff>
    </xdr:to>
    <xdr:pic>
      <xdr:nvPicPr>
        <xdr:cNvPr id="2" name="Picture 10" descr="LOGO PEMKO">
          <a:extLst>
            <a:ext uri="{FF2B5EF4-FFF2-40B4-BE49-F238E27FC236}">
              <a16:creationId xmlns:a16="http://schemas.microsoft.com/office/drawing/2014/main" xmlns="" id="{4F6D4B66-E7AF-4581-984F-96CECD979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698500" cy="1028822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6350</xdr:colOff>
      <xdr:row>4</xdr:row>
      <xdr:rowOff>158872</xdr:rowOff>
    </xdr:to>
    <xdr:pic>
      <xdr:nvPicPr>
        <xdr:cNvPr id="2" name="Picture 10" descr="LOGO PEMKO">
          <a:extLst>
            <a:ext uri="{FF2B5EF4-FFF2-40B4-BE49-F238E27FC236}">
              <a16:creationId xmlns:a16="http://schemas.microsoft.com/office/drawing/2014/main" xmlns="" id="{4F6D4B66-E7AF-4581-984F-96CECD979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679450" cy="1028822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6350</xdr:colOff>
      <xdr:row>4</xdr:row>
      <xdr:rowOff>158872</xdr:rowOff>
    </xdr:to>
    <xdr:pic>
      <xdr:nvPicPr>
        <xdr:cNvPr id="2" name="Picture 10" descr="LOGO PEMKO">
          <a:extLst>
            <a:ext uri="{FF2B5EF4-FFF2-40B4-BE49-F238E27FC236}">
              <a16:creationId xmlns:a16="http://schemas.microsoft.com/office/drawing/2014/main" xmlns="" id="{4F6D4B66-E7AF-4581-984F-96CECD979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666750" cy="1028822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12700</xdr:colOff>
      <xdr:row>4</xdr:row>
      <xdr:rowOff>158872</xdr:rowOff>
    </xdr:to>
    <xdr:pic>
      <xdr:nvPicPr>
        <xdr:cNvPr id="2" name="Picture 10" descr="LOGO PEMKO">
          <a:extLst>
            <a:ext uri="{FF2B5EF4-FFF2-40B4-BE49-F238E27FC236}">
              <a16:creationId xmlns:a16="http://schemas.microsoft.com/office/drawing/2014/main" xmlns="" id="{4F6D4B66-E7AF-4581-984F-96CECD979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673100" cy="1028822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6350</xdr:colOff>
      <xdr:row>4</xdr:row>
      <xdr:rowOff>158872</xdr:rowOff>
    </xdr:to>
    <xdr:pic>
      <xdr:nvPicPr>
        <xdr:cNvPr id="2" name="Picture 10" descr="LOGO PEMKO">
          <a:extLst>
            <a:ext uri="{FF2B5EF4-FFF2-40B4-BE49-F238E27FC236}">
              <a16:creationId xmlns:a16="http://schemas.microsoft.com/office/drawing/2014/main" xmlns="" id="{4F6D4B66-E7AF-4581-984F-96CECD979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673100" cy="1028822"/>
        </a:xfrm>
        <a:prstGeom prst="rect">
          <a:avLst/>
        </a:prstGeom>
        <a:noFill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88900</xdr:colOff>
      <xdr:row>4</xdr:row>
      <xdr:rowOff>158872</xdr:rowOff>
    </xdr:to>
    <xdr:pic>
      <xdr:nvPicPr>
        <xdr:cNvPr id="2" name="Picture 10" descr="LOGO PEMKO">
          <a:extLst>
            <a:ext uri="{FF2B5EF4-FFF2-40B4-BE49-F238E27FC236}">
              <a16:creationId xmlns:a16="http://schemas.microsoft.com/office/drawing/2014/main" xmlns="" id="{4F6D4B66-E7AF-4581-984F-96CECD979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742950" cy="1028822"/>
        </a:xfrm>
        <a:prstGeom prst="rect">
          <a:avLst/>
        </a:prstGeom>
        <a:noFill/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25400</xdr:colOff>
      <xdr:row>4</xdr:row>
      <xdr:rowOff>158872</xdr:rowOff>
    </xdr:to>
    <xdr:pic>
      <xdr:nvPicPr>
        <xdr:cNvPr id="2" name="Picture 10" descr="LOGO PEMKO">
          <a:extLst>
            <a:ext uri="{FF2B5EF4-FFF2-40B4-BE49-F238E27FC236}">
              <a16:creationId xmlns:a16="http://schemas.microsoft.com/office/drawing/2014/main" xmlns="" id="{4F6D4B66-E7AF-4581-984F-96CECD979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685800" cy="1028822"/>
        </a:xfrm>
        <a:prstGeom prst="rect">
          <a:avLst/>
        </a:prstGeom>
        <a:noFill/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25400</xdr:colOff>
      <xdr:row>4</xdr:row>
      <xdr:rowOff>158872</xdr:rowOff>
    </xdr:to>
    <xdr:pic>
      <xdr:nvPicPr>
        <xdr:cNvPr id="2" name="Picture 10" descr="LOGO PEMKO">
          <a:extLst>
            <a:ext uri="{FF2B5EF4-FFF2-40B4-BE49-F238E27FC236}">
              <a16:creationId xmlns:a16="http://schemas.microsoft.com/office/drawing/2014/main" xmlns="" id="{4F6D4B66-E7AF-4581-984F-96CECD979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692150" cy="1028822"/>
        </a:xfrm>
        <a:prstGeom prst="rect">
          <a:avLst/>
        </a:prstGeom>
        <a:noFill/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19050</xdr:colOff>
      <xdr:row>4</xdr:row>
      <xdr:rowOff>158872</xdr:rowOff>
    </xdr:to>
    <xdr:pic>
      <xdr:nvPicPr>
        <xdr:cNvPr id="2" name="Picture 10" descr="LOGO PEMKO">
          <a:extLst>
            <a:ext uri="{FF2B5EF4-FFF2-40B4-BE49-F238E27FC236}">
              <a16:creationId xmlns:a16="http://schemas.microsoft.com/office/drawing/2014/main" xmlns="" id="{4F6D4B66-E7AF-4581-984F-96CECD979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692150" cy="1028822"/>
        </a:xfrm>
        <a:prstGeom prst="rect">
          <a:avLst/>
        </a:prstGeom>
        <a:noFill/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25400</xdr:colOff>
      <xdr:row>4</xdr:row>
      <xdr:rowOff>158872</xdr:rowOff>
    </xdr:to>
    <xdr:pic>
      <xdr:nvPicPr>
        <xdr:cNvPr id="2" name="Picture 10" descr="LOGO PEMKO">
          <a:extLst>
            <a:ext uri="{FF2B5EF4-FFF2-40B4-BE49-F238E27FC236}">
              <a16:creationId xmlns:a16="http://schemas.microsoft.com/office/drawing/2014/main" xmlns="" id="{4F6D4B66-E7AF-4581-984F-96CECD979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692150" cy="1028822"/>
        </a:xfrm>
        <a:prstGeom prst="rect">
          <a:avLst/>
        </a:prstGeom>
        <a:noFill/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0</xdr:colOff>
      <xdr:row>4</xdr:row>
      <xdr:rowOff>158872</xdr:rowOff>
    </xdr:to>
    <xdr:pic>
      <xdr:nvPicPr>
        <xdr:cNvPr id="2" name="Picture 10" descr="LOGO PEMKO">
          <a:extLst>
            <a:ext uri="{FF2B5EF4-FFF2-40B4-BE49-F238E27FC236}">
              <a16:creationId xmlns:a16="http://schemas.microsoft.com/office/drawing/2014/main" xmlns="" id="{4F6D4B66-E7AF-4581-984F-96CECD979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673100" cy="1028822"/>
        </a:xfrm>
        <a:prstGeom prst="rect">
          <a:avLst/>
        </a:prstGeom>
        <a:noFill/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19050</xdr:colOff>
      <xdr:row>4</xdr:row>
      <xdr:rowOff>158872</xdr:rowOff>
    </xdr:to>
    <xdr:pic>
      <xdr:nvPicPr>
        <xdr:cNvPr id="2" name="Picture 10" descr="LOGO PEMKO">
          <a:extLst>
            <a:ext uri="{FF2B5EF4-FFF2-40B4-BE49-F238E27FC236}">
              <a16:creationId xmlns:a16="http://schemas.microsoft.com/office/drawing/2014/main" xmlns="" id="{4F6D4B66-E7AF-4581-984F-96CECD979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685800" cy="1028822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lhbanjarmasin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dlhbanjarmasin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dlhbanjarmasin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dlhbanjarmasin@gmail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dlhbanjarmasin@gmail.com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dlhbanjarmasin@gmail.com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mailto:dlhbanjarmasin@gmail.com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mailto:dlhbanjarmasin@gmail.com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mailto:dlhbanjarmasin@gmail.com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mailto:dlhbanjarmasin@gmail.com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mailto:dlhbanjarmasin@gmail.com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mailto:dlhbanjarmasin@gmail.com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mailto:dlhbanjarmasi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1"/>
  <sheetViews>
    <sheetView view="pageBreakPreview" topLeftCell="A25" zoomScaleNormal="100" zoomScaleSheetLayoutView="100" workbookViewId="0">
      <selection activeCell="A14" sqref="A14:B14"/>
    </sheetView>
  </sheetViews>
  <sheetFormatPr defaultRowHeight="14.5"/>
  <cols>
    <col min="1" max="2" width="9.7265625" customWidth="1"/>
    <col min="3" max="3" width="30.90625" customWidth="1"/>
    <col min="4" max="4" width="7.08984375" customWidth="1"/>
    <col min="7" max="7" width="12.1796875" customWidth="1"/>
    <col min="8" max="8" width="14.453125" customWidth="1"/>
  </cols>
  <sheetData>
    <row r="1" spans="1:9" ht="17.5">
      <c r="A1" s="92" t="s">
        <v>0</v>
      </c>
      <c r="B1" s="92"/>
      <c r="C1" s="92"/>
      <c r="D1" s="92"/>
      <c r="E1" s="92"/>
      <c r="F1" s="92"/>
      <c r="G1" s="92"/>
      <c r="H1" s="92"/>
      <c r="I1" s="1"/>
    </row>
    <row r="2" spans="1:9" ht="22">
      <c r="A2" s="93" t="s">
        <v>1</v>
      </c>
      <c r="B2" s="93"/>
      <c r="C2" s="93"/>
      <c r="D2" s="93"/>
      <c r="E2" s="93"/>
      <c r="F2" s="93"/>
      <c r="G2" s="93"/>
      <c r="H2" s="93"/>
      <c r="I2" s="1"/>
    </row>
    <row r="3" spans="1:9">
      <c r="A3" s="94" t="s">
        <v>2</v>
      </c>
      <c r="B3" s="94"/>
      <c r="C3" s="94"/>
      <c r="D3" s="94"/>
      <c r="E3" s="94"/>
      <c r="F3" s="94"/>
      <c r="G3" s="94"/>
      <c r="H3" s="94"/>
      <c r="I3" s="1"/>
    </row>
    <row r="4" spans="1:9">
      <c r="A4" s="94" t="s">
        <v>3</v>
      </c>
      <c r="B4" s="94"/>
      <c r="C4" s="94"/>
      <c r="D4" s="94"/>
      <c r="E4" s="94"/>
      <c r="F4" s="94"/>
      <c r="G4" s="94"/>
      <c r="H4" s="94"/>
      <c r="I4" s="1"/>
    </row>
    <row r="5" spans="1:9">
      <c r="A5" s="95" t="s">
        <v>4</v>
      </c>
      <c r="B5" s="95"/>
      <c r="C5" s="95"/>
      <c r="D5" s="95"/>
      <c r="E5" s="95"/>
      <c r="F5" s="95"/>
      <c r="G5" s="95"/>
      <c r="H5" s="95"/>
      <c r="I5" s="1"/>
    </row>
    <row r="6" spans="1:9" ht="15" thickBot="1">
      <c r="A6" s="7"/>
      <c r="B6" s="8"/>
      <c r="C6" s="9"/>
      <c r="D6" s="9"/>
      <c r="E6" s="9"/>
      <c r="F6" s="55"/>
      <c r="G6" s="8"/>
      <c r="H6" s="8"/>
      <c r="I6" s="1"/>
    </row>
    <row r="7" spans="1:9" ht="15" thickTop="1">
      <c r="A7" s="10"/>
      <c r="B7" s="11"/>
      <c r="C7" s="6"/>
      <c r="D7" s="6"/>
      <c r="E7" s="6"/>
      <c r="F7" s="47"/>
      <c r="G7" s="11"/>
      <c r="H7" s="11"/>
      <c r="I7" s="1"/>
    </row>
    <row r="8" spans="1:9">
      <c r="A8" s="96" t="s">
        <v>5</v>
      </c>
      <c r="B8" s="96"/>
      <c r="C8" s="96"/>
      <c r="D8" s="96"/>
      <c r="E8" s="96"/>
      <c r="F8" s="96"/>
      <c r="G8" s="96"/>
      <c r="H8" s="96"/>
      <c r="I8" s="1"/>
    </row>
    <row r="9" spans="1:9">
      <c r="A9" s="97" t="s">
        <v>6</v>
      </c>
      <c r="B9" s="97"/>
      <c r="C9" s="97"/>
      <c r="D9" s="97"/>
      <c r="E9" s="97"/>
      <c r="F9" s="97"/>
      <c r="G9" s="97"/>
      <c r="H9" s="97"/>
      <c r="I9" s="13"/>
    </row>
    <row r="10" spans="1:9">
      <c r="A10" s="12"/>
      <c r="B10" s="12"/>
      <c r="C10" s="13"/>
      <c r="D10" s="13"/>
      <c r="E10" s="14"/>
      <c r="F10" s="13"/>
      <c r="G10" s="12"/>
      <c r="H10" s="12"/>
      <c r="I10" s="1"/>
    </row>
    <row r="11" spans="1:9">
      <c r="A11" s="98" t="s">
        <v>7</v>
      </c>
      <c r="B11" s="98"/>
      <c r="C11" s="98"/>
      <c r="D11" s="98"/>
      <c r="E11" s="98"/>
      <c r="F11" s="98"/>
      <c r="G11" s="98"/>
      <c r="H11" s="98"/>
      <c r="I11" s="23"/>
    </row>
    <row r="12" spans="1:9">
      <c r="A12" s="99" t="s">
        <v>8</v>
      </c>
      <c r="B12" s="99"/>
      <c r="C12" s="99"/>
      <c r="D12" s="99"/>
      <c r="E12" s="99"/>
      <c r="F12" s="99"/>
      <c r="G12" s="99"/>
      <c r="H12" s="99"/>
      <c r="I12" s="24"/>
    </row>
    <row r="13" spans="1:9">
      <c r="A13" s="100" t="s">
        <v>9</v>
      </c>
      <c r="B13" s="100"/>
      <c r="C13" s="100"/>
      <c r="D13" s="100"/>
      <c r="E13" s="100"/>
      <c r="F13" s="100"/>
      <c r="G13" s="100"/>
      <c r="H13" s="100"/>
      <c r="I13" s="24"/>
    </row>
    <row r="14" spans="1:9" ht="34.5">
      <c r="A14" s="91" t="s">
        <v>10</v>
      </c>
      <c r="B14" s="91"/>
      <c r="C14" s="25" t="s">
        <v>11</v>
      </c>
      <c r="D14" s="19" t="s">
        <v>12</v>
      </c>
      <c r="E14" s="26" t="s">
        <v>13</v>
      </c>
      <c r="F14" s="41" t="s">
        <v>14</v>
      </c>
      <c r="G14" s="20" t="s">
        <v>15</v>
      </c>
      <c r="H14" s="20" t="s">
        <v>16</v>
      </c>
      <c r="I14" s="28"/>
    </row>
    <row r="15" spans="1:9">
      <c r="A15" s="91">
        <v>1</v>
      </c>
      <c r="B15" s="91"/>
      <c r="C15" s="25">
        <v>2</v>
      </c>
      <c r="D15" s="25">
        <v>3</v>
      </c>
      <c r="E15" s="27">
        <v>4</v>
      </c>
      <c r="F15" s="41">
        <v>5</v>
      </c>
      <c r="G15" s="20">
        <v>6</v>
      </c>
      <c r="H15" s="20">
        <v>7</v>
      </c>
      <c r="I15" s="28"/>
    </row>
    <row r="16" spans="1:9">
      <c r="A16" s="102" t="s">
        <v>17</v>
      </c>
      <c r="B16" s="102"/>
      <c r="C16" s="102"/>
      <c r="D16" s="102"/>
      <c r="E16" s="102"/>
      <c r="F16" s="102"/>
      <c r="G16" s="102"/>
      <c r="H16" s="102"/>
      <c r="I16" s="28"/>
    </row>
    <row r="17" spans="1:9">
      <c r="A17" s="103" t="s">
        <v>18</v>
      </c>
      <c r="B17" s="103"/>
      <c r="C17" s="42" t="s">
        <v>19</v>
      </c>
      <c r="D17" s="45">
        <v>45</v>
      </c>
      <c r="E17" s="37" t="s">
        <v>20</v>
      </c>
      <c r="F17" s="52">
        <v>20</v>
      </c>
      <c r="G17" s="56">
        <v>25300</v>
      </c>
      <c r="H17" s="44">
        <v>506000</v>
      </c>
      <c r="I17" s="28"/>
    </row>
    <row r="18" spans="1:9">
      <c r="A18" s="104" t="s">
        <v>21</v>
      </c>
      <c r="B18" s="105"/>
      <c r="C18" s="42" t="s">
        <v>22</v>
      </c>
      <c r="D18" s="43">
        <v>1000</v>
      </c>
      <c r="E18" s="37" t="s">
        <v>20</v>
      </c>
      <c r="F18" s="52">
        <v>500</v>
      </c>
      <c r="G18" s="56">
        <v>5000</v>
      </c>
      <c r="H18" s="44">
        <v>2500000</v>
      </c>
      <c r="I18" s="28"/>
    </row>
    <row r="19" spans="1:9">
      <c r="A19" s="103" t="s">
        <v>23</v>
      </c>
      <c r="B19" s="103"/>
      <c r="C19" s="42" t="s">
        <v>24</v>
      </c>
      <c r="D19" s="43">
        <v>490</v>
      </c>
      <c r="E19" s="37" t="s">
        <v>20</v>
      </c>
      <c r="F19" s="52">
        <v>300</v>
      </c>
      <c r="G19" s="56">
        <v>5000</v>
      </c>
      <c r="H19" s="44">
        <v>1500000</v>
      </c>
      <c r="I19" s="28"/>
    </row>
    <row r="20" spans="1:9">
      <c r="A20" s="106" t="s">
        <v>25</v>
      </c>
      <c r="B20" s="107"/>
      <c r="C20" s="107"/>
      <c r="D20" s="107"/>
      <c r="E20" s="108"/>
      <c r="F20" s="57">
        <v>820</v>
      </c>
      <c r="G20" s="58">
        <v>35300</v>
      </c>
      <c r="H20" s="51">
        <v>4506000</v>
      </c>
      <c r="I20" s="29"/>
    </row>
    <row r="21" spans="1:9">
      <c r="A21" s="109" t="s">
        <v>26</v>
      </c>
      <c r="B21" s="109"/>
      <c r="C21" s="109"/>
      <c r="D21" s="109"/>
      <c r="E21" s="109"/>
      <c r="F21" s="110"/>
      <c r="G21" s="109"/>
      <c r="H21" s="109"/>
      <c r="I21" s="29"/>
    </row>
    <row r="22" spans="1:9">
      <c r="A22" s="111" t="s">
        <v>27</v>
      </c>
      <c r="B22" s="111"/>
      <c r="C22" s="17" t="s">
        <v>28</v>
      </c>
      <c r="D22" s="5">
        <v>5</v>
      </c>
      <c r="E22" s="59" t="s">
        <v>29</v>
      </c>
      <c r="F22" s="60">
        <v>4</v>
      </c>
      <c r="G22" s="48">
        <v>31635</v>
      </c>
      <c r="H22" s="2">
        <v>126540</v>
      </c>
      <c r="I22" s="29"/>
    </row>
    <row r="23" spans="1:9">
      <c r="A23" s="111" t="s">
        <v>30</v>
      </c>
      <c r="B23" s="111"/>
      <c r="C23" s="17" t="s">
        <v>31</v>
      </c>
      <c r="D23" s="5">
        <v>10</v>
      </c>
      <c r="E23" s="59" t="s">
        <v>29</v>
      </c>
      <c r="F23" s="60">
        <v>6</v>
      </c>
      <c r="G23" s="48">
        <v>22755</v>
      </c>
      <c r="H23" s="2">
        <v>136530</v>
      </c>
      <c r="I23" s="29"/>
    </row>
    <row r="24" spans="1:9">
      <c r="A24" s="111" t="s">
        <v>32</v>
      </c>
      <c r="B24" s="111"/>
      <c r="C24" s="17" t="s">
        <v>33</v>
      </c>
      <c r="D24" s="5">
        <v>10</v>
      </c>
      <c r="E24" s="59" t="s">
        <v>29</v>
      </c>
      <c r="F24" s="60">
        <v>10</v>
      </c>
      <c r="G24" s="48">
        <v>42735</v>
      </c>
      <c r="H24" s="2">
        <v>427350</v>
      </c>
      <c r="I24" s="29"/>
    </row>
    <row r="25" spans="1:9">
      <c r="A25" s="111" t="s">
        <v>34</v>
      </c>
      <c r="B25" s="111"/>
      <c r="C25" s="17" t="s">
        <v>35</v>
      </c>
      <c r="D25" s="5">
        <v>51</v>
      </c>
      <c r="E25" s="59" t="s">
        <v>36</v>
      </c>
      <c r="F25" s="60">
        <v>20</v>
      </c>
      <c r="G25" s="48">
        <v>4662</v>
      </c>
      <c r="H25" s="2">
        <v>93240</v>
      </c>
      <c r="I25" s="29"/>
    </row>
    <row r="26" spans="1:9">
      <c r="A26" s="111" t="s">
        <v>37</v>
      </c>
      <c r="B26" s="111"/>
      <c r="C26" s="17" t="s">
        <v>38</v>
      </c>
      <c r="D26" s="5">
        <v>10</v>
      </c>
      <c r="E26" s="59" t="s">
        <v>39</v>
      </c>
      <c r="F26" s="60">
        <v>3</v>
      </c>
      <c r="G26" s="48">
        <v>22200</v>
      </c>
      <c r="H26" s="2">
        <v>66600</v>
      </c>
      <c r="I26" s="29"/>
    </row>
    <row r="27" spans="1:9">
      <c r="A27" s="101" t="s">
        <v>40</v>
      </c>
      <c r="B27" s="101"/>
      <c r="C27" s="17" t="s">
        <v>41</v>
      </c>
      <c r="D27" s="5">
        <v>5</v>
      </c>
      <c r="E27" s="59" t="s">
        <v>39</v>
      </c>
      <c r="F27" s="60">
        <v>1</v>
      </c>
      <c r="G27" s="48">
        <v>115440</v>
      </c>
      <c r="H27" s="2">
        <v>115440</v>
      </c>
      <c r="I27" s="29"/>
    </row>
    <row r="28" spans="1:9">
      <c r="A28" s="111" t="s">
        <v>42</v>
      </c>
      <c r="B28" s="111"/>
      <c r="C28" s="17" t="s">
        <v>43</v>
      </c>
      <c r="D28" s="5">
        <v>50</v>
      </c>
      <c r="E28" s="59" t="s">
        <v>29</v>
      </c>
      <c r="F28" s="60">
        <v>9</v>
      </c>
      <c r="G28" s="48">
        <v>29970</v>
      </c>
      <c r="H28" s="2">
        <v>269730</v>
      </c>
      <c r="I28" s="29"/>
    </row>
    <row r="29" spans="1:9">
      <c r="A29" s="111" t="s">
        <v>44</v>
      </c>
      <c r="B29" s="111"/>
      <c r="C29" s="17" t="s">
        <v>45</v>
      </c>
      <c r="D29" s="5">
        <v>25</v>
      </c>
      <c r="E29" s="59" t="s">
        <v>29</v>
      </c>
      <c r="F29" s="60">
        <v>11</v>
      </c>
      <c r="G29" s="48">
        <v>5883</v>
      </c>
      <c r="H29" s="2">
        <v>64713</v>
      </c>
      <c r="I29" s="29"/>
    </row>
    <row r="30" spans="1:9">
      <c r="A30" s="111" t="s">
        <v>46</v>
      </c>
      <c r="B30" s="111"/>
      <c r="C30" s="17" t="s">
        <v>47</v>
      </c>
      <c r="D30" s="5">
        <v>51</v>
      </c>
      <c r="E30" s="59" t="s">
        <v>36</v>
      </c>
      <c r="F30" s="60">
        <v>8</v>
      </c>
      <c r="G30" s="48">
        <v>5717</v>
      </c>
      <c r="H30" s="2">
        <v>45736</v>
      </c>
      <c r="I30" s="29"/>
    </row>
    <row r="31" spans="1:9">
      <c r="A31" s="111" t="s">
        <v>48</v>
      </c>
      <c r="B31" s="111"/>
      <c r="C31" s="17" t="s">
        <v>49</v>
      </c>
      <c r="D31" s="5">
        <v>50</v>
      </c>
      <c r="E31" s="59" t="s">
        <v>29</v>
      </c>
      <c r="F31" s="60">
        <v>48</v>
      </c>
      <c r="G31" s="48">
        <v>46898</v>
      </c>
      <c r="H31" s="2">
        <v>2251104</v>
      </c>
      <c r="I31" s="29"/>
    </row>
    <row r="32" spans="1:9">
      <c r="A32" s="111" t="s">
        <v>50</v>
      </c>
      <c r="B32" s="111"/>
      <c r="C32" s="17" t="s">
        <v>51</v>
      </c>
      <c r="D32" s="5">
        <v>50</v>
      </c>
      <c r="E32" s="59" t="s">
        <v>36</v>
      </c>
      <c r="F32" s="60">
        <v>38</v>
      </c>
      <c r="G32" s="48">
        <v>11100</v>
      </c>
      <c r="H32" s="2">
        <v>421800</v>
      </c>
      <c r="I32" s="29"/>
    </row>
    <row r="33" spans="1:9">
      <c r="A33" s="111" t="s">
        <v>52</v>
      </c>
      <c r="B33" s="111"/>
      <c r="C33" s="17" t="s">
        <v>53</v>
      </c>
      <c r="D33" s="5">
        <v>10</v>
      </c>
      <c r="E33" s="59" t="s">
        <v>29</v>
      </c>
      <c r="F33" s="60">
        <v>8</v>
      </c>
      <c r="G33" s="48">
        <v>23310</v>
      </c>
      <c r="H33" s="2">
        <v>186480</v>
      </c>
      <c r="I33" s="29"/>
    </row>
    <row r="34" spans="1:9">
      <c r="A34" s="111" t="s">
        <v>54</v>
      </c>
      <c r="B34" s="111"/>
      <c r="C34" s="17" t="s">
        <v>55</v>
      </c>
      <c r="D34" s="5">
        <v>3</v>
      </c>
      <c r="E34" s="59" t="s">
        <v>29</v>
      </c>
      <c r="F34" s="60">
        <v>3</v>
      </c>
      <c r="G34" s="48">
        <v>13320</v>
      </c>
      <c r="H34" s="2">
        <v>39960</v>
      </c>
      <c r="I34" s="29"/>
    </row>
    <row r="35" spans="1:9">
      <c r="A35" s="111" t="s">
        <v>56</v>
      </c>
      <c r="B35" s="111"/>
      <c r="C35" s="17" t="s">
        <v>57</v>
      </c>
      <c r="D35" s="5">
        <v>25</v>
      </c>
      <c r="E35" s="59" t="s">
        <v>36</v>
      </c>
      <c r="F35" s="60">
        <v>3</v>
      </c>
      <c r="G35" s="48">
        <v>28860</v>
      </c>
      <c r="H35" s="2">
        <v>86580</v>
      </c>
      <c r="I35" s="29"/>
    </row>
    <row r="36" spans="1:9">
      <c r="A36" s="111" t="s">
        <v>58</v>
      </c>
      <c r="B36" s="111"/>
      <c r="C36" s="17" t="s">
        <v>59</v>
      </c>
      <c r="D36" s="5">
        <v>25</v>
      </c>
      <c r="E36" s="59" t="s">
        <v>36</v>
      </c>
      <c r="F36" s="60">
        <v>5</v>
      </c>
      <c r="G36" s="48">
        <v>19148</v>
      </c>
      <c r="H36" s="2">
        <v>95740</v>
      </c>
      <c r="I36" s="29"/>
    </row>
    <row r="37" spans="1:9">
      <c r="A37" s="111" t="s">
        <v>60</v>
      </c>
      <c r="B37" s="111"/>
      <c r="C37" s="17" t="s">
        <v>61</v>
      </c>
      <c r="D37" s="5">
        <v>59</v>
      </c>
      <c r="E37" s="59" t="s">
        <v>36</v>
      </c>
      <c r="F37" s="60">
        <v>18</v>
      </c>
      <c r="G37" s="48">
        <v>4662</v>
      </c>
      <c r="H37" s="2">
        <v>83916</v>
      </c>
      <c r="I37" s="29"/>
    </row>
    <row r="38" spans="1:9">
      <c r="A38" s="111" t="s">
        <v>62</v>
      </c>
      <c r="B38" s="111"/>
      <c r="C38" s="17" t="s">
        <v>63</v>
      </c>
      <c r="D38" s="5">
        <v>24</v>
      </c>
      <c r="E38" s="59" t="s">
        <v>36</v>
      </c>
      <c r="F38" s="60">
        <v>1</v>
      </c>
      <c r="G38" s="48">
        <v>5550</v>
      </c>
      <c r="H38" s="2">
        <v>5550</v>
      </c>
      <c r="I38" s="29"/>
    </row>
    <row r="39" spans="1:9">
      <c r="A39" s="114" t="s">
        <v>64</v>
      </c>
      <c r="B39" s="114"/>
      <c r="C39" s="54" t="s">
        <v>65</v>
      </c>
      <c r="D39" s="5">
        <v>25</v>
      </c>
      <c r="E39" s="59" t="s">
        <v>36</v>
      </c>
      <c r="F39" s="62">
        <v>3</v>
      </c>
      <c r="G39" s="48">
        <v>13154</v>
      </c>
      <c r="H39" s="2">
        <v>39462</v>
      </c>
      <c r="I39" s="29"/>
    </row>
    <row r="40" spans="1:9">
      <c r="A40" s="115" t="s">
        <v>66</v>
      </c>
      <c r="B40" s="116"/>
      <c r="C40" s="50" t="s">
        <v>67</v>
      </c>
      <c r="D40" s="5">
        <v>26</v>
      </c>
      <c r="E40" s="59" t="s">
        <v>36</v>
      </c>
      <c r="F40" s="62">
        <v>12</v>
      </c>
      <c r="G40" s="48">
        <v>10545</v>
      </c>
      <c r="H40" s="2">
        <v>126540</v>
      </c>
      <c r="I40" s="29"/>
    </row>
    <row r="41" spans="1:9">
      <c r="A41" s="111" t="s">
        <v>68</v>
      </c>
      <c r="B41" s="111"/>
      <c r="C41" s="17" t="s">
        <v>69</v>
      </c>
      <c r="D41" s="5">
        <v>12</v>
      </c>
      <c r="E41" s="59" t="s">
        <v>29</v>
      </c>
      <c r="F41" s="60">
        <v>4</v>
      </c>
      <c r="G41" s="48">
        <v>11100</v>
      </c>
      <c r="H41" s="2">
        <v>44400</v>
      </c>
      <c r="I41" s="28"/>
    </row>
    <row r="42" spans="1:9">
      <c r="A42" s="112" t="s">
        <v>70</v>
      </c>
      <c r="B42" s="113"/>
      <c r="C42" s="49" t="s">
        <v>71</v>
      </c>
      <c r="D42" s="5">
        <v>12</v>
      </c>
      <c r="E42" s="59" t="s">
        <v>29</v>
      </c>
      <c r="F42" s="60">
        <v>2</v>
      </c>
      <c r="G42" s="48">
        <v>12210</v>
      </c>
      <c r="H42" s="2">
        <v>24420</v>
      </c>
      <c r="I42" s="28"/>
    </row>
    <row r="43" spans="1:9">
      <c r="A43" s="111" t="s">
        <v>72</v>
      </c>
      <c r="B43" s="111"/>
      <c r="C43" s="17" t="s">
        <v>73</v>
      </c>
      <c r="D43" s="5">
        <v>24</v>
      </c>
      <c r="E43" s="59" t="s">
        <v>29</v>
      </c>
      <c r="F43" s="60">
        <v>6</v>
      </c>
      <c r="G43" s="48">
        <v>11655</v>
      </c>
      <c r="H43" s="2">
        <v>69930</v>
      </c>
      <c r="I43" s="28"/>
    </row>
    <row r="44" spans="1:9">
      <c r="A44" s="111" t="s">
        <v>74</v>
      </c>
      <c r="B44" s="111"/>
      <c r="C44" s="17" t="s">
        <v>75</v>
      </c>
      <c r="D44" s="5">
        <v>50</v>
      </c>
      <c r="E44" s="59" t="s">
        <v>29</v>
      </c>
      <c r="F44" s="60">
        <v>30</v>
      </c>
      <c r="G44" s="48">
        <v>22200</v>
      </c>
      <c r="H44" s="2">
        <v>666000</v>
      </c>
      <c r="I44" s="28"/>
    </row>
    <row r="45" spans="1:9">
      <c r="A45" s="112" t="s">
        <v>76</v>
      </c>
      <c r="B45" s="113"/>
      <c r="C45" s="49" t="s">
        <v>77</v>
      </c>
      <c r="D45" s="5">
        <v>21</v>
      </c>
      <c r="E45" s="59" t="s">
        <v>29</v>
      </c>
      <c r="F45" s="60">
        <v>11</v>
      </c>
      <c r="G45" s="48">
        <v>35798</v>
      </c>
      <c r="H45" s="2">
        <v>393778</v>
      </c>
      <c r="I45" s="28"/>
    </row>
    <row r="46" spans="1:9">
      <c r="A46" s="111" t="s">
        <v>78</v>
      </c>
      <c r="B46" s="111"/>
      <c r="C46" s="17" t="s">
        <v>79</v>
      </c>
      <c r="D46" s="5">
        <v>100</v>
      </c>
      <c r="E46" s="59" t="s">
        <v>80</v>
      </c>
      <c r="F46" s="60">
        <v>70</v>
      </c>
      <c r="G46" s="48">
        <v>46065</v>
      </c>
      <c r="H46" s="2">
        <v>3224550</v>
      </c>
      <c r="I46" s="28"/>
    </row>
    <row r="47" spans="1:9">
      <c r="A47" s="111" t="s">
        <v>81</v>
      </c>
      <c r="B47" s="111"/>
      <c r="C47" s="49" t="s">
        <v>82</v>
      </c>
      <c r="D47" s="5">
        <v>11</v>
      </c>
      <c r="E47" s="59" t="s">
        <v>29</v>
      </c>
      <c r="F47" s="62">
        <v>5</v>
      </c>
      <c r="G47" s="48">
        <v>10545</v>
      </c>
      <c r="H47" s="2">
        <v>52725</v>
      </c>
      <c r="I47" s="28"/>
    </row>
    <row r="48" spans="1:9">
      <c r="A48" s="111" t="s">
        <v>83</v>
      </c>
      <c r="B48" s="111"/>
      <c r="C48" s="17" t="s">
        <v>84</v>
      </c>
      <c r="D48" s="5">
        <v>100</v>
      </c>
      <c r="E48" s="59" t="s">
        <v>36</v>
      </c>
      <c r="F48" s="60">
        <v>100</v>
      </c>
      <c r="G48" s="2">
        <v>4125</v>
      </c>
      <c r="H48" s="2">
        <v>412500</v>
      </c>
      <c r="I48" s="28"/>
    </row>
    <row r="49" spans="1:9">
      <c r="A49" s="111" t="s">
        <v>85</v>
      </c>
      <c r="B49" s="111"/>
      <c r="C49" s="17" t="s">
        <v>86</v>
      </c>
      <c r="D49" s="5">
        <v>160</v>
      </c>
      <c r="E49" s="59" t="s">
        <v>36</v>
      </c>
      <c r="F49" s="60">
        <v>160</v>
      </c>
      <c r="G49" s="61">
        <v>85000</v>
      </c>
      <c r="H49" s="2">
        <v>13600000</v>
      </c>
      <c r="I49" s="28"/>
    </row>
    <row r="50" spans="1:9">
      <c r="A50" s="111" t="s">
        <v>87</v>
      </c>
      <c r="B50" s="111"/>
      <c r="C50" s="17" t="s">
        <v>88</v>
      </c>
      <c r="D50" s="5">
        <v>25</v>
      </c>
      <c r="E50" s="59" t="s">
        <v>36</v>
      </c>
      <c r="F50" s="60">
        <v>500</v>
      </c>
      <c r="G50" s="48">
        <v>23310</v>
      </c>
      <c r="H50" s="2">
        <v>11655000</v>
      </c>
      <c r="I50" s="28"/>
    </row>
    <row r="51" spans="1:9">
      <c r="A51" s="115" t="s">
        <v>89</v>
      </c>
      <c r="B51" s="116"/>
      <c r="C51" s="50" t="s">
        <v>90</v>
      </c>
      <c r="D51" s="5">
        <v>10</v>
      </c>
      <c r="E51" s="59" t="s">
        <v>29</v>
      </c>
      <c r="F51" s="63">
        <v>2</v>
      </c>
      <c r="G51" s="48">
        <v>57720</v>
      </c>
      <c r="H51" s="2">
        <v>115440</v>
      </c>
      <c r="I51" s="28"/>
    </row>
    <row r="52" spans="1:9">
      <c r="A52" s="111" t="s">
        <v>91</v>
      </c>
      <c r="B52" s="111"/>
      <c r="C52" s="17" t="s">
        <v>92</v>
      </c>
      <c r="D52" s="5">
        <v>10</v>
      </c>
      <c r="E52" s="59" t="s">
        <v>29</v>
      </c>
      <c r="F52" s="60">
        <v>5</v>
      </c>
      <c r="G52" s="48">
        <v>4662</v>
      </c>
      <c r="H52" s="2">
        <v>23310</v>
      </c>
      <c r="I52" s="28"/>
    </row>
    <row r="53" spans="1:9">
      <c r="A53" s="111" t="s">
        <v>93</v>
      </c>
      <c r="B53" s="111"/>
      <c r="C53" s="17" t="s">
        <v>94</v>
      </c>
      <c r="D53" s="5">
        <v>5</v>
      </c>
      <c r="E53" s="59" t="s">
        <v>29</v>
      </c>
      <c r="F53" s="60">
        <v>3</v>
      </c>
      <c r="G53" s="48">
        <v>17594</v>
      </c>
      <c r="H53" s="2">
        <v>52782</v>
      </c>
      <c r="I53" s="30"/>
    </row>
    <row r="54" spans="1:9">
      <c r="A54" s="111" t="s">
        <v>95</v>
      </c>
      <c r="B54" s="111"/>
      <c r="C54" s="17" t="s">
        <v>96</v>
      </c>
      <c r="D54" s="5">
        <v>14</v>
      </c>
      <c r="E54" s="59" t="s">
        <v>29</v>
      </c>
      <c r="F54" s="60">
        <v>5</v>
      </c>
      <c r="G54" s="48">
        <v>18870</v>
      </c>
      <c r="H54" s="2">
        <v>94350</v>
      </c>
      <c r="I54" s="30"/>
    </row>
    <row r="55" spans="1:9">
      <c r="A55" s="111" t="s">
        <v>97</v>
      </c>
      <c r="B55" s="111"/>
      <c r="C55" s="17" t="s">
        <v>98</v>
      </c>
      <c r="D55" s="5">
        <v>12</v>
      </c>
      <c r="E55" s="59" t="s">
        <v>29</v>
      </c>
      <c r="F55" s="60">
        <v>4</v>
      </c>
      <c r="G55" s="48">
        <v>23310</v>
      </c>
      <c r="H55" s="2">
        <v>93240</v>
      </c>
      <c r="I55" s="30"/>
    </row>
    <row r="56" spans="1:9">
      <c r="A56" s="111" t="s">
        <v>99</v>
      </c>
      <c r="B56" s="111"/>
      <c r="C56" s="17" t="s">
        <v>100</v>
      </c>
      <c r="D56" s="5">
        <v>50</v>
      </c>
      <c r="E56" s="59" t="s">
        <v>80</v>
      </c>
      <c r="F56" s="60">
        <v>50</v>
      </c>
      <c r="G56" s="65">
        <v>50505</v>
      </c>
      <c r="H56" s="2">
        <v>2525250</v>
      </c>
      <c r="I56" s="30"/>
    </row>
    <row r="57" spans="1:9">
      <c r="A57" s="117" t="s">
        <v>25</v>
      </c>
      <c r="B57" s="117"/>
      <c r="C57" s="117"/>
      <c r="D57" s="117"/>
      <c r="E57" s="117"/>
      <c r="F57" s="64">
        <v>1168</v>
      </c>
      <c r="G57" s="3">
        <v>892213</v>
      </c>
      <c r="H57" s="3">
        <v>37730686</v>
      </c>
      <c r="I57" s="30"/>
    </row>
    <row r="58" spans="1:9">
      <c r="A58" s="109" t="s">
        <v>101</v>
      </c>
      <c r="B58" s="109"/>
      <c r="C58" s="109"/>
      <c r="D58" s="109"/>
      <c r="E58" s="109"/>
      <c r="F58" s="110"/>
      <c r="G58" s="109"/>
      <c r="H58" s="109"/>
      <c r="I58" s="30"/>
    </row>
    <row r="59" spans="1:9">
      <c r="A59" s="111" t="s">
        <v>102</v>
      </c>
      <c r="B59" s="111"/>
      <c r="C59" s="17" t="s">
        <v>103</v>
      </c>
      <c r="D59" s="5">
        <v>10</v>
      </c>
      <c r="E59" s="59" t="s">
        <v>36</v>
      </c>
      <c r="F59" s="62">
        <v>3</v>
      </c>
      <c r="G59" s="65">
        <v>23255</v>
      </c>
      <c r="H59" s="2">
        <v>69765</v>
      </c>
      <c r="I59" s="30"/>
    </row>
    <row r="60" spans="1:9">
      <c r="A60" s="111" t="s">
        <v>104</v>
      </c>
      <c r="B60" s="111"/>
      <c r="C60" s="17" t="s">
        <v>105</v>
      </c>
      <c r="D60" s="5">
        <v>11</v>
      </c>
      <c r="E60" s="59" t="s">
        <v>36</v>
      </c>
      <c r="F60" s="62">
        <v>4</v>
      </c>
      <c r="G60" s="65">
        <v>25086</v>
      </c>
      <c r="H60" s="2">
        <v>100344</v>
      </c>
      <c r="I60" s="30"/>
    </row>
    <row r="61" spans="1:9">
      <c r="A61" s="111" t="s">
        <v>106</v>
      </c>
      <c r="B61" s="111"/>
      <c r="C61" s="17" t="s">
        <v>107</v>
      </c>
      <c r="D61" s="5">
        <v>10</v>
      </c>
      <c r="E61" s="59" t="s">
        <v>36</v>
      </c>
      <c r="F61" s="60">
        <v>4</v>
      </c>
      <c r="G61" s="65">
        <v>24032</v>
      </c>
      <c r="H61" s="2">
        <v>96128</v>
      </c>
      <c r="I61" s="30"/>
    </row>
    <row r="62" spans="1:9">
      <c r="A62" s="119" t="s">
        <v>108</v>
      </c>
      <c r="B62" s="119"/>
      <c r="C62" s="17" t="s">
        <v>109</v>
      </c>
      <c r="D62" s="5">
        <v>5</v>
      </c>
      <c r="E62" s="59" t="s">
        <v>110</v>
      </c>
      <c r="F62" s="60">
        <v>5</v>
      </c>
      <c r="G62" s="66">
        <v>124459</v>
      </c>
      <c r="H62" s="2">
        <v>622295</v>
      </c>
      <c r="I62" s="30"/>
    </row>
    <row r="63" spans="1:9">
      <c r="A63" s="112" t="s">
        <v>111</v>
      </c>
      <c r="B63" s="113"/>
      <c r="C63" s="17" t="s">
        <v>112</v>
      </c>
      <c r="D63" s="5">
        <v>10</v>
      </c>
      <c r="E63" s="59" t="s">
        <v>110</v>
      </c>
      <c r="F63" s="60">
        <v>4</v>
      </c>
      <c r="G63" s="65">
        <v>73538</v>
      </c>
      <c r="H63" s="2">
        <v>294152</v>
      </c>
      <c r="I63" s="30"/>
    </row>
    <row r="64" spans="1:9">
      <c r="A64" s="111" t="s">
        <v>113</v>
      </c>
      <c r="B64" s="111"/>
      <c r="C64" s="17" t="s">
        <v>114</v>
      </c>
      <c r="D64" s="5">
        <v>453</v>
      </c>
      <c r="E64" s="59" t="s">
        <v>110</v>
      </c>
      <c r="F64" s="60">
        <v>50</v>
      </c>
      <c r="G64" s="66">
        <v>70000</v>
      </c>
      <c r="H64" s="2">
        <v>3500000</v>
      </c>
      <c r="I64" s="30"/>
    </row>
    <row r="65" spans="1:9">
      <c r="A65" s="117" t="s">
        <v>25</v>
      </c>
      <c r="B65" s="117"/>
      <c r="C65" s="117"/>
      <c r="D65" s="117"/>
      <c r="E65" s="117"/>
      <c r="F65" s="64">
        <v>70</v>
      </c>
      <c r="G65" s="3">
        <v>340370</v>
      </c>
      <c r="H65" s="3">
        <v>4682684</v>
      </c>
      <c r="I65" s="30"/>
    </row>
    <row r="66" spans="1:9">
      <c r="A66" s="118" t="s">
        <v>115</v>
      </c>
      <c r="B66" s="118"/>
      <c r="C66" s="118"/>
      <c r="D66" s="118"/>
      <c r="E66" s="118"/>
      <c r="F66" s="118"/>
      <c r="G66" s="118"/>
      <c r="H66" s="118"/>
      <c r="I66" s="30"/>
    </row>
    <row r="67" spans="1:9">
      <c r="A67" s="120" t="s">
        <v>116</v>
      </c>
      <c r="B67" s="120"/>
      <c r="C67" s="35" t="s">
        <v>117</v>
      </c>
      <c r="D67" s="36">
        <v>11</v>
      </c>
      <c r="E67" s="37" t="s">
        <v>39</v>
      </c>
      <c r="F67" s="53">
        <v>9</v>
      </c>
      <c r="G67" s="38">
        <v>191250</v>
      </c>
      <c r="H67" s="38">
        <v>1721250</v>
      </c>
      <c r="I67" s="30"/>
    </row>
    <row r="68" spans="1:9">
      <c r="A68" s="103" t="s">
        <v>118</v>
      </c>
      <c r="B68" s="103"/>
      <c r="C68" s="35" t="s">
        <v>119</v>
      </c>
      <c r="D68" s="36">
        <v>11</v>
      </c>
      <c r="E68" s="37" t="s">
        <v>29</v>
      </c>
      <c r="F68" s="53">
        <v>9</v>
      </c>
      <c r="G68" s="38">
        <v>188750</v>
      </c>
      <c r="H68" s="38">
        <v>1698750</v>
      </c>
      <c r="I68" s="30"/>
    </row>
    <row r="69" spans="1:9">
      <c r="A69" s="104" t="s">
        <v>120</v>
      </c>
      <c r="B69" s="105"/>
      <c r="C69" s="35" t="s">
        <v>121</v>
      </c>
      <c r="D69" s="36"/>
      <c r="E69" s="37" t="s">
        <v>29</v>
      </c>
      <c r="F69" s="36">
        <v>900</v>
      </c>
      <c r="G69" s="38">
        <v>177000.6</v>
      </c>
      <c r="H69" s="38">
        <v>159300540</v>
      </c>
      <c r="I69" s="30"/>
    </row>
    <row r="70" spans="1:9">
      <c r="A70" s="117" t="s">
        <v>25</v>
      </c>
      <c r="B70" s="117"/>
      <c r="C70" s="117"/>
      <c r="D70" s="117"/>
      <c r="E70" s="117"/>
      <c r="F70" s="39">
        <v>918</v>
      </c>
      <c r="G70" s="3">
        <v>557000.6</v>
      </c>
      <c r="H70" s="3">
        <v>162720540</v>
      </c>
      <c r="I70" s="30"/>
    </row>
    <row r="71" spans="1:9">
      <c r="A71" s="122" t="s">
        <v>122</v>
      </c>
      <c r="B71" s="122"/>
      <c r="C71" s="122"/>
      <c r="D71" s="122"/>
      <c r="E71" s="122"/>
      <c r="F71" s="122"/>
      <c r="G71" s="122"/>
      <c r="H71" s="122"/>
      <c r="I71" s="30"/>
    </row>
    <row r="72" spans="1:9">
      <c r="A72" s="117" t="s">
        <v>25</v>
      </c>
      <c r="B72" s="117"/>
      <c r="C72" s="117"/>
      <c r="D72" s="117"/>
      <c r="E72" s="117"/>
      <c r="F72" s="40">
        <v>2976</v>
      </c>
      <c r="G72" s="3">
        <v>1824883.6</v>
      </c>
      <c r="H72" s="3">
        <v>209639910</v>
      </c>
      <c r="I72" s="29"/>
    </row>
    <row r="73" spans="1:9">
      <c r="A73" s="46"/>
      <c r="B73" s="46"/>
      <c r="C73" s="30"/>
      <c r="D73" s="30"/>
      <c r="E73" s="32"/>
      <c r="F73" s="21"/>
      <c r="G73" s="31"/>
      <c r="H73" s="31"/>
      <c r="I73" s="29"/>
    </row>
    <row r="74" spans="1:9">
      <c r="A74" s="99" t="s">
        <v>123</v>
      </c>
      <c r="B74" s="99"/>
      <c r="C74" s="99"/>
      <c r="D74" s="99"/>
      <c r="E74" s="99"/>
      <c r="F74" s="99"/>
      <c r="G74" s="99"/>
      <c r="H74" s="99"/>
      <c r="I74" s="1"/>
    </row>
    <row r="75" spans="1:9">
      <c r="A75" s="15"/>
      <c r="B75" s="15"/>
      <c r="C75" s="16"/>
      <c r="D75" s="21"/>
      <c r="E75" s="16"/>
      <c r="F75" s="16"/>
      <c r="G75" s="15"/>
      <c r="H75" s="15"/>
      <c r="I75" s="29"/>
    </row>
    <row r="76" spans="1:9">
      <c r="A76" s="33"/>
      <c r="B76" s="33"/>
      <c r="C76" s="23"/>
      <c r="D76" s="30"/>
      <c r="E76" s="121" t="s">
        <v>124</v>
      </c>
      <c r="F76" s="121"/>
      <c r="G76" s="121"/>
      <c r="H76" s="121"/>
      <c r="I76" s="29"/>
    </row>
    <row r="77" spans="1:9">
      <c r="A77" s="121" t="s">
        <v>125</v>
      </c>
      <c r="B77" s="121"/>
      <c r="C77" s="121"/>
      <c r="D77" s="30"/>
      <c r="E77" s="121" t="s">
        <v>126</v>
      </c>
      <c r="F77" s="121"/>
      <c r="G77" s="121"/>
      <c r="H77" s="121"/>
      <c r="I77" s="29"/>
    </row>
    <row r="78" spans="1:9">
      <c r="A78" s="18"/>
      <c r="B78" s="18"/>
      <c r="C78" s="22"/>
      <c r="D78" s="30"/>
      <c r="E78" s="34"/>
      <c r="F78" s="14"/>
      <c r="G78" s="4"/>
      <c r="H78" s="4"/>
      <c r="I78" s="29"/>
    </row>
    <row r="79" spans="1:9">
      <c r="A79" s="18"/>
      <c r="B79" s="18"/>
      <c r="C79" s="22"/>
      <c r="D79" s="30"/>
      <c r="E79" s="34"/>
      <c r="F79" s="14"/>
      <c r="G79" s="4"/>
      <c r="H79" s="4"/>
      <c r="I79" s="1"/>
    </row>
    <row r="80" spans="1:9">
      <c r="A80" s="18"/>
      <c r="B80" s="18"/>
      <c r="C80" s="22"/>
      <c r="D80" s="30"/>
      <c r="E80" s="34"/>
      <c r="F80" s="14"/>
      <c r="G80" s="4"/>
      <c r="H80" s="4"/>
      <c r="I80" s="1"/>
    </row>
    <row r="81" spans="1:8">
      <c r="A81" s="123" t="s">
        <v>127</v>
      </c>
      <c r="B81" s="123"/>
      <c r="C81" s="123"/>
      <c r="D81" s="30"/>
      <c r="E81" s="123" t="s">
        <v>128</v>
      </c>
      <c r="F81" s="123"/>
      <c r="G81" s="123"/>
      <c r="H81" s="123"/>
    </row>
    <row r="82" spans="1:8">
      <c r="A82" s="121" t="s">
        <v>129</v>
      </c>
      <c r="B82" s="121"/>
      <c r="C82" s="121"/>
      <c r="D82" s="30"/>
      <c r="E82" s="121" t="s">
        <v>130</v>
      </c>
      <c r="F82" s="121"/>
      <c r="G82" s="121"/>
      <c r="H82" s="121"/>
    </row>
    <row r="83" spans="1:8">
      <c r="A83" s="33"/>
      <c r="B83" s="33"/>
      <c r="C83" s="23"/>
      <c r="D83" s="30"/>
      <c r="E83" s="34"/>
      <c r="F83" s="14"/>
      <c r="G83" s="4"/>
      <c r="H83" s="33"/>
    </row>
    <row r="84" spans="1:8">
      <c r="A84" s="121" t="s">
        <v>131</v>
      </c>
      <c r="B84" s="121"/>
      <c r="C84" s="121"/>
      <c r="D84" s="121"/>
      <c r="E84" s="121"/>
      <c r="F84" s="121"/>
      <c r="G84" s="121"/>
      <c r="H84" s="121"/>
    </row>
    <row r="85" spans="1:8">
      <c r="A85" s="121" t="s">
        <v>132</v>
      </c>
      <c r="B85" s="121"/>
      <c r="C85" s="121"/>
      <c r="D85" s="121"/>
      <c r="E85" s="121"/>
      <c r="F85" s="121"/>
      <c r="G85" s="121"/>
      <c r="H85" s="121"/>
    </row>
    <row r="86" spans="1:8">
      <c r="A86" s="4"/>
      <c r="B86" s="4"/>
      <c r="C86" s="34"/>
      <c r="D86" s="30"/>
      <c r="E86" s="34"/>
      <c r="F86" s="14"/>
      <c r="G86" s="4"/>
      <c r="H86" s="4"/>
    </row>
    <row r="87" spans="1:8">
      <c r="A87" s="4"/>
      <c r="B87" s="4"/>
      <c r="C87" s="34"/>
      <c r="D87" s="30"/>
      <c r="E87" s="34"/>
      <c r="F87" s="14"/>
      <c r="G87" s="4"/>
      <c r="H87" s="4"/>
    </row>
    <row r="88" spans="1:8">
      <c r="A88" s="4"/>
      <c r="B88" s="4"/>
      <c r="C88" s="34"/>
      <c r="D88" s="30"/>
      <c r="E88" s="34"/>
      <c r="F88" s="14"/>
      <c r="G88" s="4"/>
      <c r="H88" s="4"/>
    </row>
    <row r="89" spans="1:8">
      <c r="A89" s="33"/>
      <c r="B89" s="33"/>
      <c r="C89" s="23"/>
      <c r="D89" s="30"/>
      <c r="E89" s="34"/>
      <c r="F89" s="13"/>
      <c r="G89" s="33"/>
      <c r="H89" s="33"/>
    </row>
    <row r="90" spans="1:8">
      <c r="A90" s="123" t="s">
        <v>133</v>
      </c>
      <c r="B90" s="123"/>
      <c r="C90" s="123"/>
      <c r="D90" s="123"/>
      <c r="E90" s="123"/>
      <c r="F90" s="123"/>
      <c r="G90" s="123"/>
      <c r="H90" s="123"/>
    </row>
    <row r="91" spans="1:8">
      <c r="A91" s="121" t="s">
        <v>134</v>
      </c>
      <c r="B91" s="121"/>
      <c r="C91" s="121"/>
      <c r="D91" s="121"/>
      <c r="E91" s="121"/>
      <c r="F91" s="121"/>
      <c r="G91" s="121"/>
      <c r="H91" s="121"/>
    </row>
  </sheetData>
  <mergeCells count="81">
    <mergeCell ref="A67:B67"/>
    <mergeCell ref="A91:H91"/>
    <mergeCell ref="A70:E70"/>
    <mergeCell ref="A71:H71"/>
    <mergeCell ref="A72:E72"/>
    <mergeCell ref="A74:H74"/>
    <mergeCell ref="A77:C77"/>
    <mergeCell ref="E77:H77"/>
    <mergeCell ref="A90:H90"/>
    <mergeCell ref="E76:H76"/>
    <mergeCell ref="A81:C81"/>
    <mergeCell ref="E81:H81"/>
    <mergeCell ref="A84:H84"/>
    <mergeCell ref="A82:C82"/>
    <mergeCell ref="E82:H82"/>
    <mergeCell ref="A85:H85"/>
    <mergeCell ref="A66:H66"/>
    <mergeCell ref="A55:B55"/>
    <mergeCell ref="A56:B56"/>
    <mergeCell ref="A59:B59"/>
    <mergeCell ref="A60:B60"/>
    <mergeCell ref="A61:B61"/>
    <mergeCell ref="A62:B62"/>
    <mergeCell ref="A63:B63"/>
    <mergeCell ref="A64:B64"/>
    <mergeCell ref="A65:E65"/>
    <mergeCell ref="A69:B69"/>
    <mergeCell ref="A54:B54"/>
    <mergeCell ref="A57:E57"/>
    <mergeCell ref="A58:H58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68:B68"/>
    <mergeCell ref="A42:B42"/>
    <mergeCell ref="A36:B36"/>
    <mergeCell ref="A28:B28"/>
    <mergeCell ref="A29:B29"/>
    <mergeCell ref="A30:B30"/>
    <mergeCell ref="A31:B31"/>
    <mergeCell ref="A32:B32"/>
    <mergeCell ref="A33:B33"/>
    <mergeCell ref="A34:B34"/>
    <mergeCell ref="A35:B35"/>
    <mergeCell ref="A37:B37"/>
    <mergeCell ref="A38:B38"/>
    <mergeCell ref="A39:B39"/>
    <mergeCell ref="A40:B40"/>
    <mergeCell ref="A41:B41"/>
    <mergeCell ref="A27:B27"/>
    <mergeCell ref="A16:H16"/>
    <mergeCell ref="A17:B17"/>
    <mergeCell ref="A18:B18"/>
    <mergeCell ref="A19:B19"/>
    <mergeCell ref="A20:E20"/>
    <mergeCell ref="A21:H21"/>
    <mergeCell ref="A22:B22"/>
    <mergeCell ref="A23:B23"/>
    <mergeCell ref="A24:B24"/>
    <mergeCell ref="A25:B25"/>
    <mergeCell ref="A26:B26"/>
    <mergeCell ref="A15:B15"/>
    <mergeCell ref="A1:H1"/>
    <mergeCell ref="A2:H2"/>
    <mergeCell ref="A3:H3"/>
    <mergeCell ref="A4:H4"/>
    <mergeCell ref="A5:H5"/>
    <mergeCell ref="A8:H8"/>
    <mergeCell ref="A9:H9"/>
    <mergeCell ref="A11:H11"/>
    <mergeCell ref="A12:H12"/>
    <mergeCell ref="A13:H13"/>
    <mergeCell ref="A14:B14"/>
  </mergeCells>
  <hyperlinks>
    <hyperlink ref="A5" r:id="rId1" display="mailto:dlhbanjarmasin@gmail.com"/>
  </hyperlinks>
  <pageMargins left="0.25" right="0.25" top="0.75" bottom="0.75" header="0.3" footer="0.3"/>
  <pageSetup paperSize="10000" scale="96" orientation="portrait" horizontalDpi="0" verticalDpi="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1"/>
  <sheetViews>
    <sheetView view="pageBreakPreview" zoomScaleNormal="100" zoomScaleSheetLayoutView="100" workbookViewId="0">
      <selection activeCell="A14" sqref="A14:B14"/>
    </sheetView>
  </sheetViews>
  <sheetFormatPr defaultRowHeight="14.5"/>
  <cols>
    <col min="1" max="2" width="9.6328125" customWidth="1"/>
    <col min="3" max="3" width="30.90625" customWidth="1"/>
    <col min="4" max="4" width="7" customWidth="1"/>
    <col min="7" max="7" width="11.81640625" customWidth="1"/>
    <col min="8" max="8" width="14.90625" customWidth="1"/>
  </cols>
  <sheetData>
    <row r="1" spans="1:8" ht="17.5">
      <c r="A1" s="92" t="s">
        <v>0</v>
      </c>
      <c r="B1" s="92"/>
      <c r="C1" s="92"/>
      <c r="D1" s="92"/>
      <c r="E1" s="92"/>
      <c r="F1" s="92"/>
      <c r="G1" s="92"/>
      <c r="H1" s="92"/>
    </row>
    <row r="2" spans="1:8" ht="22">
      <c r="A2" s="93" t="s">
        <v>1</v>
      </c>
      <c r="B2" s="93"/>
      <c r="C2" s="93"/>
      <c r="D2" s="93"/>
      <c r="E2" s="93"/>
      <c r="F2" s="93"/>
      <c r="G2" s="93"/>
      <c r="H2" s="93"/>
    </row>
    <row r="3" spans="1:8">
      <c r="A3" s="94" t="s">
        <v>2</v>
      </c>
      <c r="B3" s="94"/>
      <c r="C3" s="94"/>
      <c r="D3" s="94"/>
      <c r="E3" s="94"/>
      <c r="F3" s="94"/>
      <c r="G3" s="94"/>
      <c r="H3" s="94"/>
    </row>
    <row r="4" spans="1:8">
      <c r="A4" s="94" t="s">
        <v>3</v>
      </c>
      <c r="B4" s="94"/>
      <c r="C4" s="94"/>
      <c r="D4" s="94"/>
      <c r="E4" s="94"/>
      <c r="F4" s="94"/>
      <c r="G4" s="94"/>
      <c r="H4" s="94"/>
    </row>
    <row r="5" spans="1:8">
      <c r="A5" s="95" t="s">
        <v>4</v>
      </c>
      <c r="B5" s="95"/>
      <c r="C5" s="95"/>
      <c r="D5" s="95"/>
      <c r="E5" s="95"/>
      <c r="F5" s="95"/>
      <c r="G5" s="95"/>
      <c r="H5" s="95"/>
    </row>
    <row r="6" spans="1:8" ht="15" thickBot="1">
      <c r="A6" s="7"/>
      <c r="B6" s="8"/>
      <c r="C6" s="9"/>
      <c r="D6" s="9"/>
      <c r="E6" s="9"/>
      <c r="F6" s="55"/>
      <c r="G6" s="8"/>
      <c r="H6" s="8"/>
    </row>
    <row r="7" spans="1:8" ht="15" thickTop="1">
      <c r="A7" s="10"/>
      <c r="B7" s="11"/>
      <c r="C7" s="6"/>
      <c r="D7" s="6"/>
      <c r="E7" s="6"/>
      <c r="F7" s="47"/>
      <c r="G7" s="11"/>
      <c r="H7" s="11"/>
    </row>
    <row r="8" spans="1:8">
      <c r="A8" s="96" t="s">
        <v>5</v>
      </c>
      <c r="B8" s="96"/>
      <c r="C8" s="96"/>
      <c r="D8" s="96"/>
      <c r="E8" s="96"/>
      <c r="F8" s="96"/>
      <c r="G8" s="96"/>
      <c r="H8" s="96"/>
    </row>
    <row r="9" spans="1:8">
      <c r="A9" s="97" t="s">
        <v>137</v>
      </c>
      <c r="B9" s="97"/>
      <c r="C9" s="97"/>
      <c r="D9" s="97"/>
      <c r="E9" s="97"/>
      <c r="F9" s="97"/>
      <c r="G9" s="97"/>
      <c r="H9" s="97"/>
    </row>
    <row r="10" spans="1:8">
      <c r="A10" s="12"/>
      <c r="B10" s="12"/>
      <c r="C10" s="13"/>
      <c r="D10" s="13"/>
      <c r="E10" s="14"/>
      <c r="F10" s="13"/>
      <c r="G10" s="12"/>
      <c r="H10" s="12"/>
    </row>
    <row r="11" spans="1:8">
      <c r="A11" s="98" t="s">
        <v>136</v>
      </c>
      <c r="B11" s="98"/>
      <c r="C11" s="98"/>
      <c r="D11" s="98"/>
      <c r="E11" s="98"/>
      <c r="F11" s="98"/>
      <c r="G11" s="98"/>
      <c r="H11" s="98"/>
    </row>
    <row r="12" spans="1:8">
      <c r="A12" s="99" t="s">
        <v>8</v>
      </c>
      <c r="B12" s="99"/>
      <c r="C12" s="99"/>
      <c r="D12" s="99"/>
      <c r="E12" s="99"/>
      <c r="F12" s="99"/>
      <c r="G12" s="99"/>
      <c r="H12" s="99"/>
    </row>
    <row r="13" spans="1:8">
      <c r="A13" s="100" t="s">
        <v>142</v>
      </c>
      <c r="B13" s="100"/>
      <c r="C13" s="100"/>
      <c r="D13" s="100"/>
      <c r="E13" s="100"/>
      <c r="F13" s="100"/>
      <c r="G13" s="100"/>
      <c r="H13" s="100"/>
    </row>
    <row r="14" spans="1:8" ht="34.5">
      <c r="A14" s="91" t="s">
        <v>10</v>
      </c>
      <c r="B14" s="91"/>
      <c r="C14" s="25" t="s">
        <v>11</v>
      </c>
      <c r="D14" s="19" t="s">
        <v>12</v>
      </c>
      <c r="E14" s="26" t="s">
        <v>13</v>
      </c>
      <c r="F14" s="41" t="s">
        <v>14</v>
      </c>
      <c r="G14" s="20" t="s">
        <v>15</v>
      </c>
      <c r="H14" s="20" t="s">
        <v>16</v>
      </c>
    </row>
    <row r="15" spans="1:8">
      <c r="A15" s="91">
        <v>1</v>
      </c>
      <c r="B15" s="91"/>
      <c r="C15" s="25">
        <v>2</v>
      </c>
      <c r="D15" s="25">
        <v>3</v>
      </c>
      <c r="E15" s="27">
        <v>4</v>
      </c>
      <c r="F15" s="41">
        <v>5</v>
      </c>
      <c r="G15" s="20">
        <v>6</v>
      </c>
      <c r="H15" s="20">
        <v>7</v>
      </c>
    </row>
    <row r="16" spans="1:8">
      <c r="A16" s="102" t="s">
        <v>17</v>
      </c>
      <c r="B16" s="102"/>
      <c r="C16" s="102"/>
      <c r="D16" s="102"/>
      <c r="E16" s="102"/>
      <c r="F16" s="102"/>
      <c r="G16" s="102"/>
      <c r="H16" s="102"/>
    </row>
    <row r="17" spans="1:8">
      <c r="A17" s="103" t="s">
        <v>18</v>
      </c>
      <c r="B17" s="103"/>
      <c r="C17" s="42" t="s">
        <v>19</v>
      </c>
      <c r="D17" s="45">
        <v>45</v>
      </c>
      <c r="E17" s="37" t="s">
        <v>20</v>
      </c>
      <c r="F17" s="52">
        <v>20</v>
      </c>
      <c r="G17" s="56">
        <v>25300</v>
      </c>
      <c r="H17" s="44">
        <v>506000</v>
      </c>
    </row>
    <row r="18" spans="1:8">
      <c r="A18" s="104" t="s">
        <v>21</v>
      </c>
      <c r="B18" s="105"/>
      <c r="C18" s="42" t="s">
        <v>22</v>
      </c>
      <c r="D18" s="43">
        <v>1000</v>
      </c>
      <c r="E18" s="37" t="s">
        <v>20</v>
      </c>
      <c r="F18" s="52">
        <v>500</v>
      </c>
      <c r="G18" s="56">
        <v>5000</v>
      </c>
      <c r="H18" s="44">
        <v>2500000</v>
      </c>
    </row>
    <row r="19" spans="1:8">
      <c r="A19" s="103" t="s">
        <v>23</v>
      </c>
      <c r="B19" s="103"/>
      <c r="C19" s="42" t="s">
        <v>24</v>
      </c>
      <c r="D19" s="43">
        <v>490</v>
      </c>
      <c r="E19" s="37" t="s">
        <v>20</v>
      </c>
      <c r="F19" s="52">
        <v>300</v>
      </c>
      <c r="G19" s="56">
        <v>5000</v>
      </c>
      <c r="H19" s="44">
        <v>1500000</v>
      </c>
    </row>
    <row r="20" spans="1:8">
      <c r="A20" s="106" t="s">
        <v>25</v>
      </c>
      <c r="B20" s="107"/>
      <c r="C20" s="107"/>
      <c r="D20" s="107"/>
      <c r="E20" s="108"/>
      <c r="F20" s="57">
        <v>820</v>
      </c>
      <c r="G20" s="58">
        <v>35300</v>
      </c>
      <c r="H20" s="51">
        <v>4506000</v>
      </c>
    </row>
    <row r="21" spans="1:8">
      <c r="A21" s="109" t="s">
        <v>26</v>
      </c>
      <c r="B21" s="109"/>
      <c r="C21" s="109"/>
      <c r="D21" s="109"/>
      <c r="E21" s="109"/>
      <c r="F21" s="110"/>
      <c r="G21" s="109"/>
      <c r="H21" s="109"/>
    </row>
    <row r="22" spans="1:8">
      <c r="A22" s="111" t="s">
        <v>27</v>
      </c>
      <c r="B22" s="111"/>
      <c r="C22" s="17" t="s">
        <v>28</v>
      </c>
      <c r="D22" s="5">
        <v>5</v>
      </c>
      <c r="E22" s="59" t="s">
        <v>29</v>
      </c>
      <c r="F22" s="60">
        <v>4</v>
      </c>
      <c r="G22" s="48">
        <v>31635</v>
      </c>
      <c r="H22" s="2">
        <v>126540</v>
      </c>
    </row>
    <row r="23" spans="1:8">
      <c r="A23" s="111" t="s">
        <v>30</v>
      </c>
      <c r="B23" s="111"/>
      <c r="C23" s="17" t="s">
        <v>31</v>
      </c>
      <c r="D23" s="5">
        <v>10</v>
      </c>
      <c r="E23" s="59" t="s">
        <v>29</v>
      </c>
      <c r="F23" s="60">
        <v>6</v>
      </c>
      <c r="G23" s="48">
        <v>22755</v>
      </c>
      <c r="H23" s="2">
        <v>136530</v>
      </c>
    </row>
    <row r="24" spans="1:8">
      <c r="A24" s="111" t="s">
        <v>32</v>
      </c>
      <c r="B24" s="111"/>
      <c r="C24" s="17" t="s">
        <v>33</v>
      </c>
      <c r="D24" s="5">
        <v>10</v>
      </c>
      <c r="E24" s="59" t="s">
        <v>29</v>
      </c>
      <c r="F24" s="60">
        <v>10</v>
      </c>
      <c r="G24" s="48">
        <v>42735</v>
      </c>
      <c r="H24" s="2">
        <v>427350</v>
      </c>
    </row>
    <row r="25" spans="1:8">
      <c r="A25" s="111" t="s">
        <v>34</v>
      </c>
      <c r="B25" s="111"/>
      <c r="C25" s="17" t="s">
        <v>35</v>
      </c>
      <c r="D25" s="5">
        <v>51</v>
      </c>
      <c r="E25" s="59" t="s">
        <v>36</v>
      </c>
      <c r="F25" s="60">
        <v>20</v>
      </c>
      <c r="G25" s="48">
        <v>4662</v>
      </c>
      <c r="H25" s="2">
        <v>93240</v>
      </c>
    </row>
    <row r="26" spans="1:8">
      <c r="A26" s="111" t="s">
        <v>37</v>
      </c>
      <c r="B26" s="111"/>
      <c r="C26" s="17" t="s">
        <v>38</v>
      </c>
      <c r="D26" s="5">
        <v>10</v>
      </c>
      <c r="E26" s="59" t="s">
        <v>39</v>
      </c>
      <c r="F26" s="60">
        <v>3</v>
      </c>
      <c r="G26" s="48">
        <v>22200</v>
      </c>
      <c r="H26" s="2">
        <v>66600</v>
      </c>
    </row>
    <row r="27" spans="1:8">
      <c r="A27" s="101" t="s">
        <v>40</v>
      </c>
      <c r="B27" s="101"/>
      <c r="C27" s="17" t="s">
        <v>41</v>
      </c>
      <c r="D27" s="5">
        <v>5</v>
      </c>
      <c r="E27" s="59" t="s">
        <v>39</v>
      </c>
      <c r="F27" s="60">
        <v>1</v>
      </c>
      <c r="G27" s="48">
        <v>115440</v>
      </c>
      <c r="H27" s="2">
        <v>115440</v>
      </c>
    </row>
    <row r="28" spans="1:8">
      <c r="A28" s="111" t="s">
        <v>42</v>
      </c>
      <c r="B28" s="111"/>
      <c r="C28" s="17" t="s">
        <v>43</v>
      </c>
      <c r="D28" s="5">
        <v>50</v>
      </c>
      <c r="E28" s="59" t="s">
        <v>29</v>
      </c>
      <c r="F28" s="60">
        <v>9</v>
      </c>
      <c r="G28" s="48">
        <v>29970</v>
      </c>
      <c r="H28" s="2">
        <v>269730</v>
      </c>
    </row>
    <row r="29" spans="1:8">
      <c r="A29" s="111" t="s">
        <v>44</v>
      </c>
      <c r="B29" s="111"/>
      <c r="C29" s="17" t="s">
        <v>45</v>
      </c>
      <c r="D29" s="5">
        <v>25</v>
      </c>
      <c r="E29" s="59" t="s">
        <v>29</v>
      </c>
      <c r="F29" s="60">
        <v>11</v>
      </c>
      <c r="G29" s="48">
        <v>5883</v>
      </c>
      <c r="H29" s="2">
        <v>64713</v>
      </c>
    </row>
    <row r="30" spans="1:8">
      <c r="A30" s="111" t="s">
        <v>46</v>
      </c>
      <c r="B30" s="111"/>
      <c r="C30" s="17" t="s">
        <v>47</v>
      </c>
      <c r="D30" s="5">
        <v>51</v>
      </c>
      <c r="E30" s="59" t="s">
        <v>36</v>
      </c>
      <c r="F30" s="60">
        <v>8</v>
      </c>
      <c r="G30" s="48">
        <v>5717</v>
      </c>
      <c r="H30" s="2">
        <v>45736</v>
      </c>
    </row>
    <row r="31" spans="1:8">
      <c r="A31" s="111" t="s">
        <v>48</v>
      </c>
      <c r="B31" s="111"/>
      <c r="C31" s="17" t="s">
        <v>49</v>
      </c>
      <c r="D31" s="5">
        <v>50</v>
      </c>
      <c r="E31" s="59" t="s">
        <v>29</v>
      </c>
      <c r="F31" s="60">
        <v>48</v>
      </c>
      <c r="G31" s="48">
        <v>46898</v>
      </c>
      <c r="H31" s="2">
        <v>2251104</v>
      </c>
    </row>
    <row r="32" spans="1:8">
      <c r="A32" s="111" t="s">
        <v>50</v>
      </c>
      <c r="B32" s="111"/>
      <c r="C32" s="17" t="s">
        <v>51</v>
      </c>
      <c r="D32" s="5">
        <v>50</v>
      </c>
      <c r="E32" s="59" t="s">
        <v>36</v>
      </c>
      <c r="F32" s="60">
        <v>38</v>
      </c>
      <c r="G32" s="48">
        <v>11100</v>
      </c>
      <c r="H32" s="2">
        <v>421800</v>
      </c>
    </row>
    <row r="33" spans="1:8">
      <c r="A33" s="111" t="s">
        <v>52</v>
      </c>
      <c r="B33" s="111"/>
      <c r="C33" s="17" t="s">
        <v>53</v>
      </c>
      <c r="D33" s="5">
        <v>10</v>
      </c>
      <c r="E33" s="59" t="s">
        <v>29</v>
      </c>
      <c r="F33" s="60">
        <v>8</v>
      </c>
      <c r="G33" s="48">
        <v>23310</v>
      </c>
      <c r="H33" s="2">
        <v>186480</v>
      </c>
    </row>
    <row r="34" spans="1:8">
      <c r="A34" s="111" t="s">
        <v>54</v>
      </c>
      <c r="B34" s="111"/>
      <c r="C34" s="17" t="s">
        <v>55</v>
      </c>
      <c r="D34" s="5">
        <v>3</v>
      </c>
      <c r="E34" s="59" t="s">
        <v>29</v>
      </c>
      <c r="F34" s="60">
        <v>3</v>
      </c>
      <c r="G34" s="48">
        <v>13320</v>
      </c>
      <c r="H34" s="2">
        <v>39960</v>
      </c>
    </row>
    <row r="35" spans="1:8">
      <c r="A35" s="111" t="s">
        <v>56</v>
      </c>
      <c r="B35" s="111"/>
      <c r="C35" s="17" t="s">
        <v>57</v>
      </c>
      <c r="D35" s="5">
        <v>25</v>
      </c>
      <c r="E35" s="59" t="s">
        <v>36</v>
      </c>
      <c r="F35" s="60">
        <v>3</v>
      </c>
      <c r="G35" s="48">
        <v>28860</v>
      </c>
      <c r="H35" s="2">
        <v>86580</v>
      </c>
    </row>
    <row r="36" spans="1:8">
      <c r="A36" s="111" t="s">
        <v>58</v>
      </c>
      <c r="B36" s="111"/>
      <c r="C36" s="17" t="s">
        <v>59</v>
      </c>
      <c r="D36" s="5">
        <v>25</v>
      </c>
      <c r="E36" s="59" t="s">
        <v>36</v>
      </c>
      <c r="F36" s="60">
        <v>5</v>
      </c>
      <c r="G36" s="48">
        <v>19148</v>
      </c>
      <c r="H36" s="2">
        <v>95740</v>
      </c>
    </row>
    <row r="37" spans="1:8">
      <c r="A37" s="111" t="s">
        <v>60</v>
      </c>
      <c r="B37" s="111"/>
      <c r="C37" s="17" t="s">
        <v>61</v>
      </c>
      <c r="D37" s="5">
        <v>59</v>
      </c>
      <c r="E37" s="59" t="s">
        <v>36</v>
      </c>
      <c r="F37" s="60">
        <v>18</v>
      </c>
      <c r="G37" s="48">
        <v>4662</v>
      </c>
      <c r="H37" s="2">
        <v>83916</v>
      </c>
    </row>
    <row r="38" spans="1:8">
      <c r="A38" s="111" t="s">
        <v>62</v>
      </c>
      <c r="B38" s="111"/>
      <c r="C38" s="17" t="s">
        <v>63</v>
      </c>
      <c r="D38" s="5">
        <v>24</v>
      </c>
      <c r="E38" s="59" t="s">
        <v>36</v>
      </c>
      <c r="F38" s="60">
        <v>1</v>
      </c>
      <c r="G38" s="48">
        <v>5550</v>
      </c>
      <c r="H38" s="2">
        <v>5550</v>
      </c>
    </row>
    <row r="39" spans="1:8">
      <c r="A39" s="114" t="s">
        <v>64</v>
      </c>
      <c r="B39" s="114"/>
      <c r="C39" s="54" t="s">
        <v>65</v>
      </c>
      <c r="D39" s="5">
        <v>25</v>
      </c>
      <c r="E39" s="59" t="s">
        <v>36</v>
      </c>
      <c r="F39" s="62">
        <v>3</v>
      </c>
      <c r="G39" s="48">
        <v>13154</v>
      </c>
      <c r="H39" s="2">
        <v>39462</v>
      </c>
    </row>
    <row r="40" spans="1:8">
      <c r="A40" s="115" t="s">
        <v>66</v>
      </c>
      <c r="B40" s="116"/>
      <c r="C40" s="50" t="s">
        <v>67</v>
      </c>
      <c r="D40" s="5">
        <v>26</v>
      </c>
      <c r="E40" s="59" t="s">
        <v>36</v>
      </c>
      <c r="F40" s="62">
        <v>12</v>
      </c>
      <c r="G40" s="48">
        <v>10545</v>
      </c>
      <c r="H40" s="2">
        <v>126540</v>
      </c>
    </row>
    <row r="41" spans="1:8">
      <c r="A41" s="111" t="s">
        <v>68</v>
      </c>
      <c r="B41" s="111"/>
      <c r="C41" s="17" t="s">
        <v>69</v>
      </c>
      <c r="D41" s="5">
        <v>12</v>
      </c>
      <c r="E41" s="59" t="s">
        <v>29</v>
      </c>
      <c r="F41" s="60">
        <v>4</v>
      </c>
      <c r="G41" s="48">
        <v>11100</v>
      </c>
      <c r="H41" s="2">
        <v>44400</v>
      </c>
    </row>
    <row r="42" spans="1:8">
      <c r="A42" s="112" t="s">
        <v>70</v>
      </c>
      <c r="B42" s="113"/>
      <c r="C42" s="49" t="s">
        <v>71</v>
      </c>
      <c r="D42" s="5">
        <v>12</v>
      </c>
      <c r="E42" s="59" t="s">
        <v>29</v>
      </c>
      <c r="F42" s="60">
        <v>2</v>
      </c>
      <c r="G42" s="48">
        <v>12210</v>
      </c>
      <c r="H42" s="2">
        <v>24420</v>
      </c>
    </row>
    <row r="43" spans="1:8">
      <c r="A43" s="111" t="s">
        <v>72</v>
      </c>
      <c r="B43" s="111"/>
      <c r="C43" s="17" t="s">
        <v>73</v>
      </c>
      <c r="D43" s="5">
        <v>24</v>
      </c>
      <c r="E43" s="59" t="s">
        <v>29</v>
      </c>
      <c r="F43" s="60">
        <v>6</v>
      </c>
      <c r="G43" s="48">
        <v>11655</v>
      </c>
      <c r="H43" s="2">
        <v>69930</v>
      </c>
    </row>
    <row r="44" spans="1:8">
      <c r="A44" s="111" t="s">
        <v>74</v>
      </c>
      <c r="B44" s="111"/>
      <c r="C44" s="17" t="s">
        <v>75</v>
      </c>
      <c r="D44" s="5">
        <v>50</v>
      </c>
      <c r="E44" s="59" t="s">
        <v>29</v>
      </c>
      <c r="F44" s="60">
        <v>30</v>
      </c>
      <c r="G44" s="48">
        <v>22200</v>
      </c>
      <c r="H44" s="2">
        <v>666000</v>
      </c>
    </row>
    <row r="45" spans="1:8">
      <c r="A45" s="112" t="s">
        <v>76</v>
      </c>
      <c r="B45" s="113"/>
      <c r="C45" s="49" t="s">
        <v>77</v>
      </c>
      <c r="D45" s="5">
        <v>21</v>
      </c>
      <c r="E45" s="59" t="s">
        <v>29</v>
      </c>
      <c r="F45" s="60">
        <v>11</v>
      </c>
      <c r="G45" s="48">
        <v>35798</v>
      </c>
      <c r="H45" s="2">
        <v>393778</v>
      </c>
    </row>
    <row r="46" spans="1:8">
      <c r="A46" s="111" t="s">
        <v>78</v>
      </c>
      <c r="B46" s="111"/>
      <c r="C46" s="17" t="s">
        <v>79</v>
      </c>
      <c r="D46" s="5">
        <v>100</v>
      </c>
      <c r="E46" s="59" t="s">
        <v>80</v>
      </c>
      <c r="F46" s="60">
        <v>70</v>
      </c>
      <c r="G46" s="48">
        <v>46065</v>
      </c>
      <c r="H46" s="2">
        <v>3224550</v>
      </c>
    </row>
    <row r="47" spans="1:8">
      <c r="A47" s="111" t="s">
        <v>81</v>
      </c>
      <c r="B47" s="111"/>
      <c r="C47" s="49" t="s">
        <v>82</v>
      </c>
      <c r="D47" s="5">
        <v>11</v>
      </c>
      <c r="E47" s="59" t="s">
        <v>29</v>
      </c>
      <c r="F47" s="62">
        <v>5</v>
      </c>
      <c r="G47" s="48">
        <v>10545</v>
      </c>
      <c r="H47" s="2">
        <v>52725</v>
      </c>
    </row>
    <row r="48" spans="1:8">
      <c r="A48" s="111" t="s">
        <v>83</v>
      </c>
      <c r="B48" s="111"/>
      <c r="C48" s="17" t="s">
        <v>84</v>
      </c>
      <c r="D48" s="5">
        <v>100</v>
      </c>
      <c r="E48" s="59" t="s">
        <v>36</v>
      </c>
      <c r="F48" s="60">
        <v>100</v>
      </c>
      <c r="G48" s="2">
        <v>4125</v>
      </c>
      <c r="H48" s="2">
        <v>412500</v>
      </c>
    </row>
    <row r="49" spans="1:8">
      <c r="A49" s="111" t="s">
        <v>85</v>
      </c>
      <c r="B49" s="111"/>
      <c r="C49" s="17" t="s">
        <v>86</v>
      </c>
      <c r="D49" s="5">
        <v>160</v>
      </c>
      <c r="E49" s="59" t="s">
        <v>36</v>
      </c>
      <c r="F49" s="60">
        <v>160</v>
      </c>
      <c r="G49" s="61">
        <v>85000</v>
      </c>
      <c r="H49" s="2">
        <v>13600000</v>
      </c>
    </row>
    <row r="50" spans="1:8">
      <c r="A50" s="111" t="s">
        <v>87</v>
      </c>
      <c r="B50" s="111"/>
      <c r="C50" s="17" t="s">
        <v>88</v>
      </c>
      <c r="D50" s="5">
        <v>25</v>
      </c>
      <c r="E50" s="59" t="s">
        <v>36</v>
      </c>
      <c r="F50" s="60">
        <v>500</v>
      </c>
      <c r="G50" s="48">
        <v>23310</v>
      </c>
      <c r="H50" s="2">
        <v>11655000</v>
      </c>
    </row>
    <row r="51" spans="1:8">
      <c r="A51" s="115" t="s">
        <v>89</v>
      </c>
      <c r="B51" s="116"/>
      <c r="C51" s="50" t="s">
        <v>90</v>
      </c>
      <c r="D51" s="5">
        <v>10</v>
      </c>
      <c r="E51" s="59" t="s">
        <v>29</v>
      </c>
      <c r="F51" s="63">
        <v>2</v>
      </c>
      <c r="G51" s="48">
        <v>57720</v>
      </c>
      <c r="H51" s="2">
        <v>115440</v>
      </c>
    </row>
    <row r="52" spans="1:8">
      <c r="A52" s="111" t="s">
        <v>91</v>
      </c>
      <c r="B52" s="111"/>
      <c r="C52" s="17" t="s">
        <v>92</v>
      </c>
      <c r="D52" s="5">
        <v>10</v>
      </c>
      <c r="E52" s="59" t="s">
        <v>29</v>
      </c>
      <c r="F52" s="60">
        <v>5</v>
      </c>
      <c r="G52" s="48">
        <v>4662</v>
      </c>
      <c r="H52" s="2">
        <v>23310</v>
      </c>
    </row>
    <row r="53" spans="1:8">
      <c r="A53" s="111" t="s">
        <v>93</v>
      </c>
      <c r="B53" s="111"/>
      <c r="C53" s="17" t="s">
        <v>94</v>
      </c>
      <c r="D53" s="5">
        <v>5</v>
      </c>
      <c r="E53" s="59" t="s">
        <v>29</v>
      </c>
      <c r="F53" s="60">
        <v>3</v>
      </c>
      <c r="G53" s="48">
        <v>17594</v>
      </c>
      <c r="H53" s="2">
        <v>52782</v>
      </c>
    </row>
    <row r="54" spans="1:8">
      <c r="A54" s="111" t="s">
        <v>95</v>
      </c>
      <c r="B54" s="111"/>
      <c r="C54" s="17" t="s">
        <v>96</v>
      </c>
      <c r="D54" s="5">
        <v>14</v>
      </c>
      <c r="E54" s="59" t="s">
        <v>29</v>
      </c>
      <c r="F54" s="60">
        <v>5</v>
      </c>
      <c r="G54" s="48">
        <v>18870</v>
      </c>
      <c r="H54" s="2">
        <v>94350</v>
      </c>
    </row>
    <row r="55" spans="1:8">
      <c r="A55" s="111" t="s">
        <v>97</v>
      </c>
      <c r="B55" s="111"/>
      <c r="C55" s="17" t="s">
        <v>98</v>
      </c>
      <c r="D55" s="5">
        <v>12</v>
      </c>
      <c r="E55" s="59" t="s">
        <v>29</v>
      </c>
      <c r="F55" s="60">
        <v>4</v>
      </c>
      <c r="G55" s="48">
        <v>23310</v>
      </c>
      <c r="H55" s="2">
        <v>93240</v>
      </c>
    </row>
    <row r="56" spans="1:8">
      <c r="A56" s="111" t="s">
        <v>99</v>
      </c>
      <c r="B56" s="111"/>
      <c r="C56" s="17" t="s">
        <v>100</v>
      </c>
      <c r="D56" s="5">
        <v>50</v>
      </c>
      <c r="E56" s="59" t="s">
        <v>80</v>
      </c>
      <c r="F56" s="60">
        <v>50</v>
      </c>
      <c r="G56" s="65">
        <v>50505</v>
      </c>
      <c r="H56" s="2">
        <v>2525250</v>
      </c>
    </row>
    <row r="57" spans="1:8">
      <c r="A57" s="117" t="s">
        <v>25</v>
      </c>
      <c r="B57" s="117"/>
      <c r="C57" s="117"/>
      <c r="D57" s="117"/>
      <c r="E57" s="117"/>
      <c r="F57" s="64">
        <v>1168</v>
      </c>
      <c r="G57" s="3">
        <v>892213</v>
      </c>
      <c r="H57" s="3">
        <v>37730686</v>
      </c>
    </row>
    <row r="58" spans="1:8">
      <c r="A58" s="109" t="s">
        <v>101</v>
      </c>
      <c r="B58" s="109"/>
      <c r="C58" s="109"/>
      <c r="D58" s="109"/>
      <c r="E58" s="109"/>
      <c r="F58" s="110"/>
      <c r="G58" s="109"/>
      <c r="H58" s="109"/>
    </row>
    <row r="59" spans="1:8">
      <c r="A59" s="111" t="s">
        <v>102</v>
      </c>
      <c r="B59" s="111"/>
      <c r="C59" s="17" t="s">
        <v>103</v>
      </c>
      <c r="D59" s="5">
        <v>10</v>
      </c>
      <c r="E59" s="59" t="s">
        <v>36</v>
      </c>
      <c r="F59" s="62">
        <v>3</v>
      </c>
      <c r="G59" s="65">
        <v>23255</v>
      </c>
      <c r="H59" s="2">
        <v>69765</v>
      </c>
    </row>
    <row r="60" spans="1:8">
      <c r="A60" s="111" t="s">
        <v>104</v>
      </c>
      <c r="B60" s="111"/>
      <c r="C60" s="17" t="s">
        <v>105</v>
      </c>
      <c r="D60" s="5">
        <v>11</v>
      </c>
      <c r="E60" s="59" t="s">
        <v>36</v>
      </c>
      <c r="F60" s="62">
        <v>4</v>
      </c>
      <c r="G60" s="65">
        <v>25086</v>
      </c>
      <c r="H60" s="2">
        <v>100344</v>
      </c>
    </row>
    <row r="61" spans="1:8">
      <c r="A61" s="111" t="s">
        <v>106</v>
      </c>
      <c r="B61" s="111"/>
      <c r="C61" s="17" t="s">
        <v>107</v>
      </c>
      <c r="D61" s="5">
        <v>10</v>
      </c>
      <c r="E61" s="59" t="s">
        <v>36</v>
      </c>
      <c r="F61" s="60">
        <v>4</v>
      </c>
      <c r="G61" s="65">
        <v>24032</v>
      </c>
      <c r="H61" s="2">
        <v>96128</v>
      </c>
    </row>
    <row r="62" spans="1:8">
      <c r="A62" s="119" t="s">
        <v>108</v>
      </c>
      <c r="B62" s="119"/>
      <c r="C62" s="17" t="s">
        <v>109</v>
      </c>
      <c r="D62" s="5">
        <v>5</v>
      </c>
      <c r="E62" s="59" t="s">
        <v>110</v>
      </c>
      <c r="F62" s="60">
        <v>5</v>
      </c>
      <c r="G62" s="66">
        <v>124459</v>
      </c>
      <c r="H62" s="2">
        <v>622295</v>
      </c>
    </row>
    <row r="63" spans="1:8">
      <c r="A63" s="112" t="s">
        <v>111</v>
      </c>
      <c r="B63" s="113"/>
      <c r="C63" s="17" t="s">
        <v>112</v>
      </c>
      <c r="D63" s="5">
        <v>10</v>
      </c>
      <c r="E63" s="59" t="s">
        <v>110</v>
      </c>
      <c r="F63" s="60">
        <v>4</v>
      </c>
      <c r="G63" s="65">
        <v>73538</v>
      </c>
      <c r="H63" s="2">
        <v>294152</v>
      </c>
    </row>
    <row r="64" spans="1:8">
      <c r="A64" s="111" t="s">
        <v>113</v>
      </c>
      <c r="B64" s="111"/>
      <c r="C64" s="17" t="s">
        <v>114</v>
      </c>
      <c r="D64" s="5">
        <v>453</v>
      </c>
      <c r="E64" s="59" t="s">
        <v>110</v>
      </c>
      <c r="F64" s="60">
        <v>50</v>
      </c>
      <c r="G64" s="66">
        <v>70000</v>
      </c>
      <c r="H64" s="2">
        <v>3500000</v>
      </c>
    </row>
    <row r="65" spans="1:8">
      <c r="A65" s="117" t="s">
        <v>25</v>
      </c>
      <c r="B65" s="117"/>
      <c r="C65" s="117"/>
      <c r="D65" s="117"/>
      <c r="E65" s="117"/>
      <c r="F65" s="64">
        <v>70</v>
      </c>
      <c r="G65" s="3">
        <v>340370</v>
      </c>
      <c r="H65" s="3">
        <v>4682684</v>
      </c>
    </row>
    <row r="66" spans="1:8">
      <c r="A66" s="118" t="s">
        <v>115</v>
      </c>
      <c r="B66" s="118"/>
      <c r="C66" s="118"/>
      <c r="D66" s="118"/>
      <c r="E66" s="118"/>
      <c r="F66" s="118"/>
      <c r="G66" s="118"/>
      <c r="H66" s="118"/>
    </row>
    <row r="67" spans="1:8">
      <c r="A67" s="120" t="s">
        <v>116</v>
      </c>
      <c r="B67" s="120"/>
      <c r="C67" s="35" t="s">
        <v>117</v>
      </c>
      <c r="D67" s="36">
        <v>11</v>
      </c>
      <c r="E67" s="37" t="s">
        <v>39</v>
      </c>
      <c r="F67" s="53">
        <v>9</v>
      </c>
      <c r="G67" s="38">
        <v>191250</v>
      </c>
      <c r="H67" s="38">
        <v>1721250</v>
      </c>
    </row>
    <row r="68" spans="1:8">
      <c r="A68" s="103" t="s">
        <v>118</v>
      </c>
      <c r="B68" s="103"/>
      <c r="C68" s="35" t="s">
        <v>119</v>
      </c>
      <c r="D68" s="36">
        <v>11</v>
      </c>
      <c r="E68" s="37" t="s">
        <v>29</v>
      </c>
      <c r="F68" s="53">
        <v>9</v>
      </c>
      <c r="G68" s="38">
        <v>188750</v>
      </c>
      <c r="H68" s="38">
        <v>1698750</v>
      </c>
    </row>
    <row r="69" spans="1:8">
      <c r="A69" s="104" t="s">
        <v>120</v>
      </c>
      <c r="B69" s="105"/>
      <c r="C69" s="35" t="s">
        <v>121</v>
      </c>
      <c r="D69" s="36"/>
      <c r="E69" s="37" t="s">
        <v>29</v>
      </c>
      <c r="F69" s="36">
        <v>900</v>
      </c>
      <c r="G69" s="38">
        <v>177000.6</v>
      </c>
      <c r="H69" s="38">
        <v>159300540</v>
      </c>
    </row>
    <row r="70" spans="1:8">
      <c r="A70" s="117" t="s">
        <v>25</v>
      </c>
      <c r="B70" s="117"/>
      <c r="C70" s="117"/>
      <c r="D70" s="117"/>
      <c r="E70" s="117"/>
      <c r="F70" s="39">
        <v>918</v>
      </c>
      <c r="G70" s="3">
        <v>557000.6</v>
      </c>
      <c r="H70" s="3">
        <v>162720540</v>
      </c>
    </row>
    <row r="71" spans="1:8">
      <c r="A71" s="122" t="s">
        <v>122</v>
      </c>
      <c r="B71" s="122"/>
      <c r="C71" s="122"/>
      <c r="D71" s="122"/>
      <c r="E71" s="122"/>
      <c r="F71" s="122"/>
      <c r="G71" s="122"/>
      <c r="H71" s="122"/>
    </row>
    <row r="72" spans="1:8">
      <c r="A72" s="117" t="s">
        <v>25</v>
      </c>
      <c r="B72" s="117"/>
      <c r="C72" s="117"/>
      <c r="D72" s="117"/>
      <c r="E72" s="117"/>
      <c r="F72" s="40">
        <v>2976</v>
      </c>
      <c r="G72" s="3">
        <v>1824883.6</v>
      </c>
      <c r="H72" s="3">
        <v>209639910</v>
      </c>
    </row>
    <row r="73" spans="1:8">
      <c r="A73" s="46"/>
      <c r="B73" s="46"/>
      <c r="C73" s="30"/>
      <c r="D73" s="30"/>
      <c r="E73" s="32"/>
      <c r="F73" s="21"/>
      <c r="G73" s="31"/>
      <c r="H73" s="31"/>
    </row>
    <row r="74" spans="1:8">
      <c r="A74" s="99" t="s">
        <v>123</v>
      </c>
      <c r="B74" s="99"/>
      <c r="C74" s="99"/>
      <c r="D74" s="99"/>
      <c r="E74" s="99"/>
      <c r="F74" s="99"/>
      <c r="G74" s="99"/>
      <c r="H74" s="99"/>
    </row>
    <row r="75" spans="1:8">
      <c r="A75" s="15"/>
      <c r="B75" s="15"/>
      <c r="C75" s="16"/>
      <c r="D75" s="21"/>
      <c r="E75" s="16"/>
      <c r="F75" s="16"/>
      <c r="G75" s="15"/>
      <c r="H75" s="15"/>
    </row>
    <row r="76" spans="1:8">
      <c r="A76" s="33"/>
      <c r="B76" s="33"/>
      <c r="C76" s="23"/>
      <c r="D76" s="30"/>
      <c r="E76" s="121" t="s">
        <v>135</v>
      </c>
      <c r="F76" s="121"/>
      <c r="G76" s="121"/>
      <c r="H76" s="121"/>
    </row>
    <row r="77" spans="1:8">
      <c r="A77" s="121" t="s">
        <v>125</v>
      </c>
      <c r="B77" s="121"/>
      <c r="C77" s="121"/>
      <c r="D77" s="30"/>
      <c r="E77" s="121" t="s">
        <v>126</v>
      </c>
      <c r="F77" s="121"/>
      <c r="G77" s="121"/>
      <c r="H77" s="121"/>
    </row>
    <row r="78" spans="1:8">
      <c r="A78" s="18"/>
      <c r="B78" s="18"/>
      <c r="C78" s="22"/>
      <c r="D78" s="30"/>
      <c r="E78" s="34"/>
      <c r="F78" s="14"/>
      <c r="G78" s="4"/>
      <c r="H78" s="4"/>
    </row>
    <row r="79" spans="1:8">
      <c r="A79" s="18"/>
      <c r="B79" s="18"/>
      <c r="C79" s="22"/>
      <c r="D79" s="30"/>
      <c r="E79" s="34"/>
      <c r="F79" s="14"/>
      <c r="G79" s="4"/>
      <c r="H79" s="4"/>
    </row>
    <row r="80" spans="1:8">
      <c r="A80" s="18"/>
      <c r="B80" s="18"/>
      <c r="C80" s="22"/>
      <c r="D80" s="30"/>
      <c r="E80" s="34"/>
      <c r="F80" s="14"/>
      <c r="G80" s="4"/>
      <c r="H80" s="4"/>
    </row>
    <row r="81" spans="1:8">
      <c r="A81" s="123" t="s">
        <v>127</v>
      </c>
      <c r="B81" s="123"/>
      <c r="C81" s="123"/>
      <c r="D81" s="30"/>
      <c r="E81" s="123" t="s">
        <v>128</v>
      </c>
      <c r="F81" s="123"/>
      <c r="G81" s="123"/>
      <c r="H81" s="123"/>
    </row>
    <row r="82" spans="1:8">
      <c r="A82" s="121" t="s">
        <v>129</v>
      </c>
      <c r="B82" s="121"/>
      <c r="C82" s="121"/>
      <c r="D82" s="30"/>
      <c r="E82" s="121" t="s">
        <v>130</v>
      </c>
      <c r="F82" s="121"/>
      <c r="G82" s="121"/>
      <c r="H82" s="121"/>
    </row>
    <row r="83" spans="1:8">
      <c r="A83" s="33"/>
      <c r="B83" s="33"/>
      <c r="C83" s="23"/>
      <c r="D83" s="30"/>
      <c r="E83" s="34"/>
      <c r="F83" s="14"/>
      <c r="G83" s="4"/>
      <c r="H83" s="33"/>
    </row>
    <row r="84" spans="1:8">
      <c r="A84" s="121" t="s">
        <v>131</v>
      </c>
      <c r="B84" s="121"/>
      <c r="C84" s="121"/>
      <c r="D84" s="121"/>
      <c r="E84" s="121"/>
      <c r="F84" s="121"/>
      <c r="G84" s="121"/>
      <c r="H84" s="121"/>
    </row>
    <row r="85" spans="1:8">
      <c r="A85" s="121" t="s">
        <v>132</v>
      </c>
      <c r="B85" s="121"/>
      <c r="C85" s="121"/>
      <c r="D85" s="121"/>
      <c r="E85" s="121"/>
      <c r="F85" s="121"/>
      <c r="G85" s="121"/>
      <c r="H85" s="121"/>
    </row>
    <row r="86" spans="1:8">
      <c r="A86" s="4"/>
      <c r="B86" s="4"/>
      <c r="C86" s="34"/>
      <c r="D86" s="30"/>
      <c r="E86" s="34"/>
      <c r="F86" s="14"/>
      <c r="G86" s="4"/>
      <c r="H86" s="4"/>
    </row>
    <row r="87" spans="1:8">
      <c r="A87" s="4"/>
      <c r="B87" s="4"/>
      <c r="C87" s="34"/>
      <c r="D87" s="30"/>
      <c r="E87" s="34"/>
      <c r="F87" s="14"/>
      <c r="G87" s="4"/>
      <c r="H87" s="4"/>
    </row>
    <row r="88" spans="1:8">
      <c r="A88" s="4"/>
      <c r="B88" s="4"/>
      <c r="C88" s="34"/>
      <c r="D88" s="30"/>
      <c r="E88" s="34"/>
      <c r="F88" s="14"/>
      <c r="G88" s="4"/>
      <c r="H88" s="4"/>
    </row>
    <row r="89" spans="1:8">
      <c r="A89" s="33"/>
      <c r="B89" s="33"/>
      <c r="C89" s="23"/>
      <c r="D89" s="30"/>
      <c r="E89" s="34"/>
      <c r="F89" s="13"/>
      <c r="G89" s="33"/>
      <c r="H89" s="33"/>
    </row>
    <row r="90" spans="1:8">
      <c r="A90" s="123" t="s">
        <v>133</v>
      </c>
      <c r="B90" s="123"/>
      <c r="C90" s="123"/>
      <c r="D90" s="123"/>
      <c r="E90" s="123"/>
      <c r="F90" s="123"/>
      <c r="G90" s="123"/>
      <c r="H90" s="123"/>
    </row>
    <row r="91" spans="1:8">
      <c r="A91" s="121" t="s">
        <v>134</v>
      </c>
      <c r="B91" s="121"/>
      <c r="C91" s="121"/>
      <c r="D91" s="121"/>
      <c r="E91" s="121"/>
      <c r="F91" s="121"/>
      <c r="G91" s="121"/>
      <c r="H91" s="121"/>
    </row>
  </sheetData>
  <mergeCells count="81">
    <mergeCell ref="A90:H90"/>
    <mergeCell ref="A91:H91"/>
    <mergeCell ref="A81:C81"/>
    <mergeCell ref="E81:H81"/>
    <mergeCell ref="A82:C82"/>
    <mergeCell ref="E82:H82"/>
    <mergeCell ref="A84:H84"/>
    <mergeCell ref="A85:H85"/>
    <mergeCell ref="A77:C77"/>
    <mergeCell ref="E77:H77"/>
    <mergeCell ref="A64:B64"/>
    <mergeCell ref="A65:E65"/>
    <mergeCell ref="A66:H66"/>
    <mergeCell ref="A67:B67"/>
    <mergeCell ref="A68:B68"/>
    <mergeCell ref="A69:B69"/>
    <mergeCell ref="A70:E70"/>
    <mergeCell ref="A71:H71"/>
    <mergeCell ref="A72:E72"/>
    <mergeCell ref="A74:H74"/>
    <mergeCell ref="E76:H76"/>
    <mergeCell ref="A63:B63"/>
    <mergeCell ref="A52:B52"/>
    <mergeCell ref="A53:B53"/>
    <mergeCell ref="A54:B54"/>
    <mergeCell ref="A55:B55"/>
    <mergeCell ref="A56:B56"/>
    <mergeCell ref="A57:E57"/>
    <mergeCell ref="A58:H58"/>
    <mergeCell ref="A59:B59"/>
    <mergeCell ref="A60:B60"/>
    <mergeCell ref="A61:B61"/>
    <mergeCell ref="A62:B62"/>
    <mergeCell ref="A51:B51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39:B39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27:B27"/>
    <mergeCell ref="A16:H16"/>
    <mergeCell ref="A17:B17"/>
    <mergeCell ref="A18:B18"/>
    <mergeCell ref="A19:B19"/>
    <mergeCell ref="A20:E20"/>
    <mergeCell ref="A21:H21"/>
    <mergeCell ref="A22:B22"/>
    <mergeCell ref="A23:B23"/>
    <mergeCell ref="A24:B24"/>
    <mergeCell ref="A25:B25"/>
    <mergeCell ref="A26:B26"/>
    <mergeCell ref="A15:B15"/>
    <mergeCell ref="A1:H1"/>
    <mergeCell ref="A2:H2"/>
    <mergeCell ref="A3:H3"/>
    <mergeCell ref="A4:H4"/>
    <mergeCell ref="A5:H5"/>
    <mergeCell ref="A8:H8"/>
    <mergeCell ref="A9:H9"/>
    <mergeCell ref="A11:H11"/>
    <mergeCell ref="A12:H12"/>
    <mergeCell ref="A13:H13"/>
    <mergeCell ref="A14:B14"/>
  </mergeCells>
  <hyperlinks>
    <hyperlink ref="A5" r:id="rId1" display="mailto:dlhbanjarmasin@gmail.com"/>
  </hyperlinks>
  <pageMargins left="0.25" right="0.25" top="0.75" bottom="0.75" header="0.3" footer="0.3"/>
  <pageSetup paperSize="10000" orientation="portrait" horizontalDpi="0" verticalDpi="0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1"/>
  <sheetViews>
    <sheetView view="pageBreakPreview" zoomScaleNormal="100" zoomScaleSheetLayoutView="100" workbookViewId="0">
      <selection activeCell="A14" sqref="A14:B14"/>
    </sheetView>
  </sheetViews>
  <sheetFormatPr defaultRowHeight="14.5"/>
  <cols>
    <col min="1" max="2" width="9.6328125" customWidth="1"/>
    <col min="3" max="3" width="30.36328125" customWidth="1"/>
    <col min="7" max="7" width="12.26953125" customWidth="1"/>
    <col min="8" max="8" width="15" customWidth="1"/>
  </cols>
  <sheetData>
    <row r="1" spans="1:8" ht="17.5">
      <c r="A1" s="92" t="s">
        <v>0</v>
      </c>
      <c r="B1" s="92"/>
      <c r="C1" s="92"/>
      <c r="D1" s="92"/>
      <c r="E1" s="92"/>
      <c r="F1" s="92"/>
      <c r="G1" s="92"/>
      <c r="H1" s="92"/>
    </row>
    <row r="2" spans="1:8" ht="22">
      <c r="A2" s="93" t="s">
        <v>1</v>
      </c>
      <c r="B2" s="93"/>
      <c r="C2" s="93"/>
      <c r="D2" s="93"/>
      <c r="E2" s="93"/>
      <c r="F2" s="93"/>
      <c r="G2" s="93"/>
      <c r="H2" s="93"/>
    </row>
    <row r="3" spans="1:8">
      <c r="A3" s="94" t="s">
        <v>2</v>
      </c>
      <c r="B3" s="94"/>
      <c r="C3" s="94"/>
      <c r="D3" s="94"/>
      <c r="E3" s="94"/>
      <c r="F3" s="94"/>
      <c r="G3" s="94"/>
      <c r="H3" s="94"/>
    </row>
    <row r="4" spans="1:8">
      <c r="A4" s="94" t="s">
        <v>3</v>
      </c>
      <c r="B4" s="94"/>
      <c r="C4" s="94"/>
      <c r="D4" s="94"/>
      <c r="E4" s="94"/>
      <c r="F4" s="94"/>
      <c r="G4" s="94"/>
      <c r="H4" s="94"/>
    </row>
    <row r="5" spans="1:8">
      <c r="A5" s="95" t="s">
        <v>4</v>
      </c>
      <c r="B5" s="95"/>
      <c r="C5" s="95"/>
      <c r="D5" s="95"/>
      <c r="E5" s="95"/>
      <c r="F5" s="95"/>
      <c r="G5" s="95"/>
      <c r="H5" s="95"/>
    </row>
    <row r="6" spans="1:8" ht="15" thickBot="1">
      <c r="A6" s="7"/>
      <c r="B6" s="8"/>
      <c r="C6" s="9"/>
      <c r="D6" s="9"/>
      <c r="E6" s="9"/>
      <c r="F6" s="55"/>
      <c r="G6" s="8"/>
      <c r="H6" s="8"/>
    </row>
    <row r="7" spans="1:8" ht="15" thickTop="1">
      <c r="A7" s="10"/>
      <c r="B7" s="11"/>
      <c r="C7" s="6"/>
      <c r="D7" s="6"/>
      <c r="E7" s="6"/>
      <c r="F7" s="47"/>
      <c r="G7" s="11"/>
      <c r="H7" s="11"/>
    </row>
    <row r="8" spans="1:8">
      <c r="A8" s="96" t="s">
        <v>5</v>
      </c>
      <c r="B8" s="96"/>
      <c r="C8" s="96"/>
      <c r="D8" s="96"/>
      <c r="E8" s="96"/>
      <c r="F8" s="96"/>
      <c r="G8" s="96"/>
      <c r="H8" s="96"/>
    </row>
    <row r="9" spans="1:8">
      <c r="A9" s="97" t="s">
        <v>137</v>
      </c>
      <c r="B9" s="97"/>
      <c r="C9" s="97"/>
      <c r="D9" s="97"/>
      <c r="E9" s="97"/>
      <c r="F9" s="97"/>
      <c r="G9" s="97"/>
      <c r="H9" s="97"/>
    </row>
    <row r="10" spans="1:8">
      <c r="A10" s="12"/>
      <c r="B10" s="12"/>
      <c r="C10" s="13"/>
      <c r="D10" s="13"/>
      <c r="E10" s="14"/>
      <c r="F10" s="13"/>
      <c r="G10" s="12"/>
      <c r="H10" s="12"/>
    </row>
    <row r="11" spans="1:8">
      <c r="A11" s="98" t="s">
        <v>139</v>
      </c>
      <c r="B11" s="98"/>
      <c r="C11" s="98"/>
      <c r="D11" s="98"/>
      <c r="E11" s="98"/>
      <c r="F11" s="98"/>
      <c r="G11" s="98"/>
      <c r="H11" s="98"/>
    </row>
    <row r="12" spans="1:8">
      <c r="A12" s="99" t="s">
        <v>8</v>
      </c>
      <c r="B12" s="99"/>
      <c r="C12" s="99"/>
      <c r="D12" s="99"/>
      <c r="E12" s="99"/>
      <c r="F12" s="99"/>
      <c r="G12" s="99"/>
      <c r="H12" s="99"/>
    </row>
    <row r="13" spans="1:8">
      <c r="A13" s="100" t="s">
        <v>142</v>
      </c>
      <c r="B13" s="100"/>
      <c r="C13" s="100"/>
      <c r="D13" s="100"/>
      <c r="E13" s="100"/>
      <c r="F13" s="100"/>
      <c r="G13" s="100"/>
      <c r="H13" s="100"/>
    </row>
    <row r="14" spans="1:8" ht="34.5">
      <c r="A14" s="91" t="s">
        <v>10</v>
      </c>
      <c r="B14" s="91"/>
      <c r="C14" s="25" t="s">
        <v>11</v>
      </c>
      <c r="D14" s="19" t="s">
        <v>12</v>
      </c>
      <c r="E14" s="26" t="s">
        <v>13</v>
      </c>
      <c r="F14" s="41" t="s">
        <v>14</v>
      </c>
      <c r="G14" s="20" t="s">
        <v>15</v>
      </c>
      <c r="H14" s="20" t="s">
        <v>16</v>
      </c>
    </row>
    <row r="15" spans="1:8">
      <c r="A15" s="91">
        <v>1</v>
      </c>
      <c r="B15" s="91"/>
      <c r="C15" s="25">
        <v>2</v>
      </c>
      <c r="D15" s="25">
        <v>3</v>
      </c>
      <c r="E15" s="27">
        <v>4</v>
      </c>
      <c r="F15" s="41">
        <v>5</v>
      </c>
      <c r="G15" s="20">
        <v>6</v>
      </c>
      <c r="H15" s="20">
        <v>7</v>
      </c>
    </row>
    <row r="16" spans="1:8">
      <c r="A16" s="102" t="s">
        <v>17</v>
      </c>
      <c r="B16" s="102"/>
      <c r="C16" s="102"/>
      <c r="D16" s="102"/>
      <c r="E16" s="102"/>
      <c r="F16" s="102"/>
      <c r="G16" s="102"/>
      <c r="H16" s="102"/>
    </row>
    <row r="17" spans="1:8">
      <c r="A17" s="103" t="s">
        <v>18</v>
      </c>
      <c r="B17" s="103"/>
      <c r="C17" s="42" t="s">
        <v>19</v>
      </c>
      <c r="D17" s="45">
        <v>45</v>
      </c>
      <c r="E17" s="37" t="s">
        <v>20</v>
      </c>
      <c r="F17" s="52">
        <v>20</v>
      </c>
      <c r="G17" s="56">
        <v>25300</v>
      </c>
      <c r="H17" s="44">
        <v>506000</v>
      </c>
    </row>
    <row r="18" spans="1:8">
      <c r="A18" s="104" t="s">
        <v>21</v>
      </c>
      <c r="B18" s="105"/>
      <c r="C18" s="42" t="s">
        <v>22</v>
      </c>
      <c r="D18" s="43">
        <v>1000</v>
      </c>
      <c r="E18" s="37" t="s">
        <v>20</v>
      </c>
      <c r="F18" s="52">
        <v>500</v>
      </c>
      <c r="G18" s="56">
        <v>5000</v>
      </c>
      <c r="H18" s="44">
        <v>2500000</v>
      </c>
    </row>
    <row r="19" spans="1:8">
      <c r="A19" s="103" t="s">
        <v>23</v>
      </c>
      <c r="B19" s="103"/>
      <c r="C19" s="42" t="s">
        <v>24</v>
      </c>
      <c r="D19" s="43">
        <v>490</v>
      </c>
      <c r="E19" s="37" t="s">
        <v>20</v>
      </c>
      <c r="F19" s="52">
        <v>300</v>
      </c>
      <c r="G19" s="56">
        <v>5000</v>
      </c>
      <c r="H19" s="44">
        <v>1500000</v>
      </c>
    </row>
    <row r="20" spans="1:8">
      <c r="A20" s="106" t="s">
        <v>25</v>
      </c>
      <c r="B20" s="107"/>
      <c r="C20" s="107"/>
      <c r="D20" s="107"/>
      <c r="E20" s="108"/>
      <c r="F20" s="57">
        <v>820</v>
      </c>
      <c r="G20" s="58">
        <v>35300</v>
      </c>
      <c r="H20" s="51">
        <v>4506000</v>
      </c>
    </row>
    <row r="21" spans="1:8">
      <c r="A21" s="109" t="s">
        <v>26</v>
      </c>
      <c r="B21" s="109"/>
      <c r="C21" s="109"/>
      <c r="D21" s="109"/>
      <c r="E21" s="109"/>
      <c r="F21" s="110"/>
      <c r="G21" s="109"/>
      <c r="H21" s="109"/>
    </row>
    <row r="22" spans="1:8">
      <c r="A22" s="111" t="s">
        <v>27</v>
      </c>
      <c r="B22" s="111"/>
      <c r="C22" s="17" t="s">
        <v>28</v>
      </c>
      <c r="D22" s="5">
        <v>5</v>
      </c>
      <c r="E22" s="59" t="s">
        <v>29</v>
      </c>
      <c r="F22" s="60">
        <v>4</v>
      </c>
      <c r="G22" s="48">
        <v>31635</v>
      </c>
      <c r="H22" s="2">
        <v>126540</v>
      </c>
    </row>
    <row r="23" spans="1:8">
      <c r="A23" s="111" t="s">
        <v>30</v>
      </c>
      <c r="B23" s="111"/>
      <c r="C23" s="17" t="s">
        <v>31</v>
      </c>
      <c r="D23" s="5">
        <v>10</v>
      </c>
      <c r="E23" s="59" t="s">
        <v>29</v>
      </c>
      <c r="F23" s="60">
        <v>6</v>
      </c>
      <c r="G23" s="48">
        <v>22755</v>
      </c>
      <c r="H23" s="2">
        <v>136530</v>
      </c>
    </row>
    <row r="24" spans="1:8">
      <c r="A24" s="111" t="s">
        <v>32</v>
      </c>
      <c r="B24" s="111"/>
      <c r="C24" s="17" t="s">
        <v>33</v>
      </c>
      <c r="D24" s="5">
        <v>10</v>
      </c>
      <c r="E24" s="59" t="s">
        <v>29</v>
      </c>
      <c r="F24" s="60">
        <v>10</v>
      </c>
      <c r="G24" s="48">
        <v>42735</v>
      </c>
      <c r="H24" s="2">
        <v>427350</v>
      </c>
    </row>
    <row r="25" spans="1:8">
      <c r="A25" s="111" t="s">
        <v>34</v>
      </c>
      <c r="B25" s="111"/>
      <c r="C25" s="17" t="s">
        <v>35</v>
      </c>
      <c r="D25" s="5">
        <v>51</v>
      </c>
      <c r="E25" s="59" t="s">
        <v>36</v>
      </c>
      <c r="F25" s="60">
        <v>20</v>
      </c>
      <c r="G25" s="48">
        <v>4662</v>
      </c>
      <c r="H25" s="2">
        <v>93240</v>
      </c>
    </row>
    <row r="26" spans="1:8">
      <c r="A26" s="111" t="s">
        <v>37</v>
      </c>
      <c r="B26" s="111"/>
      <c r="C26" s="17" t="s">
        <v>38</v>
      </c>
      <c r="D26" s="5">
        <v>10</v>
      </c>
      <c r="E26" s="59" t="s">
        <v>39</v>
      </c>
      <c r="F26" s="60">
        <v>3</v>
      </c>
      <c r="G26" s="48">
        <v>22200</v>
      </c>
      <c r="H26" s="2">
        <v>66600</v>
      </c>
    </row>
    <row r="27" spans="1:8">
      <c r="A27" s="101" t="s">
        <v>40</v>
      </c>
      <c r="B27" s="101"/>
      <c r="C27" s="17" t="s">
        <v>41</v>
      </c>
      <c r="D27" s="5">
        <v>5</v>
      </c>
      <c r="E27" s="59" t="s">
        <v>39</v>
      </c>
      <c r="F27" s="60">
        <v>1</v>
      </c>
      <c r="G27" s="48">
        <v>115440</v>
      </c>
      <c r="H27" s="2">
        <v>115440</v>
      </c>
    </row>
    <row r="28" spans="1:8">
      <c r="A28" s="111" t="s">
        <v>42</v>
      </c>
      <c r="B28" s="111"/>
      <c r="C28" s="17" t="s">
        <v>43</v>
      </c>
      <c r="D28" s="5">
        <v>50</v>
      </c>
      <c r="E28" s="59" t="s">
        <v>29</v>
      </c>
      <c r="F28" s="60">
        <v>9</v>
      </c>
      <c r="G28" s="48">
        <v>29970</v>
      </c>
      <c r="H28" s="2">
        <v>269730</v>
      </c>
    </row>
    <row r="29" spans="1:8">
      <c r="A29" s="111" t="s">
        <v>44</v>
      </c>
      <c r="B29" s="111"/>
      <c r="C29" s="17" t="s">
        <v>45</v>
      </c>
      <c r="D29" s="5">
        <v>25</v>
      </c>
      <c r="E29" s="59" t="s">
        <v>29</v>
      </c>
      <c r="F29" s="60">
        <v>11</v>
      </c>
      <c r="G29" s="48">
        <v>5883</v>
      </c>
      <c r="H29" s="2">
        <v>64713</v>
      </c>
    </row>
    <row r="30" spans="1:8">
      <c r="A30" s="111" t="s">
        <v>46</v>
      </c>
      <c r="B30" s="111"/>
      <c r="C30" s="17" t="s">
        <v>47</v>
      </c>
      <c r="D30" s="5">
        <v>51</v>
      </c>
      <c r="E30" s="59" t="s">
        <v>36</v>
      </c>
      <c r="F30" s="60">
        <v>8</v>
      </c>
      <c r="G30" s="48">
        <v>5717</v>
      </c>
      <c r="H30" s="2">
        <v>45736</v>
      </c>
    </row>
    <row r="31" spans="1:8">
      <c r="A31" s="111" t="s">
        <v>48</v>
      </c>
      <c r="B31" s="111"/>
      <c r="C31" s="17" t="s">
        <v>49</v>
      </c>
      <c r="D31" s="5">
        <v>50</v>
      </c>
      <c r="E31" s="59" t="s">
        <v>29</v>
      </c>
      <c r="F31" s="60">
        <v>48</v>
      </c>
      <c r="G31" s="48">
        <v>46898</v>
      </c>
      <c r="H31" s="2">
        <v>2251104</v>
      </c>
    </row>
    <row r="32" spans="1:8">
      <c r="A32" s="111" t="s">
        <v>50</v>
      </c>
      <c r="B32" s="111"/>
      <c r="C32" s="17" t="s">
        <v>51</v>
      </c>
      <c r="D32" s="5">
        <v>50</v>
      </c>
      <c r="E32" s="59" t="s">
        <v>36</v>
      </c>
      <c r="F32" s="60">
        <v>38</v>
      </c>
      <c r="G32" s="48">
        <v>11100</v>
      </c>
      <c r="H32" s="2">
        <v>421800</v>
      </c>
    </row>
    <row r="33" spans="1:8">
      <c r="A33" s="111" t="s">
        <v>52</v>
      </c>
      <c r="B33" s="111"/>
      <c r="C33" s="17" t="s">
        <v>53</v>
      </c>
      <c r="D33" s="5">
        <v>10</v>
      </c>
      <c r="E33" s="59" t="s">
        <v>29</v>
      </c>
      <c r="F33" s="60">
        <v>8</v>
      </c>
      <c r="G33" s="48">
        <v>23310</v>
      </c>
      <c r="H33" s="2">
        <v>186480</v>
      </c>
    </row>
    <row r="34" spans="1:8">
      <c r="A34" s="111" t="s">
        <v>54</v>
      </c>
      <c r="B34" s="111"/>
      <c r="C34" s="17" t="s">
        <v>55</v>
      </c>
      <c r="D34" s="5">
        <v>3</v>
      </c>
      <c r="E34" s="59" t="s">
        <v>29</v>
      </c>
      <c r="F34" s="60">
        <v>3</v>
      </c>
      <c r="G34" s="48">
        <v>13320</v>
      </c>
      <c r="H34" s="2">
        <v>39960</v>
      </c>
    </row>
    <row r="35" spans="1:8">
      <c r="A35" s="111" t="s">
        <v>56</v>
      </c>
      <c r="B35" s="111"/>
      <c r="C35" s="17" t="s">
        <v>57</v>
      </c>
      <c r="D35" s="5">
        <v>25</v>
      </c>
      <c r="E35" s="59" t="s">
        <v>36</v>
      </c>
      <c r="F35" s="60">
        <v>3</v>
      </c>
      <c r="G35" s="48">
        <v>28860</v>
      </c>
      <c r="H35" s="2">
        <v>86580</v>
      </c>
    </row>
    <row r="36" spans="1:8">
      <c r="A36" s="111" t="s">
        <v>58</v>
      </c>
      <c r="B36" s="111"/>
      <c r="C36" s="17" t="s">
        <v>59</v>
      </c>
      <c r="D36" s="5">
        <v>25</v>
      </c>
      <c r="E36" s="59" t="s">
        <v>36</v>
      </c>
      <c r="F36" s="60">
        <v>5</v>
      </c>
      <c r="G36" s="48">
        <v>19148</v>
      </c>
      <c r="H36" s="2">
        <v>95740</v>
      </c>
    </row>
    <row r="37" spans="1:8">
      <c r="A37" s="111" t="s">
        <v>60</v>
      </c>
      <c r="B37" s="111"/>
      <c r="C37" s="17" t="s">
        <v>61</v>
      </c>
      <c r="D37" s="5">
        <v>59</v>
      </c>
      <c r="E37" s="59" t="s">
        <v>36</v>
      </c>
      <c r="F37" s="60">
        <v>18</v>
      </c>
      <c r="G37" s="48">
        <v>4662</v>
      </c>
      <c r="H37" s="2">
        <v>83916</v>
      </c>
    </row>
    <row r="38" spans="1:8">
      <c r="A38" s="111" t="s">
        <v>62</v>
      </c>
      <c r="B38" s="111"/>
      <c r="C38" s="17" t="s">
        <v>63</v>
      </c>
      <c r="D38" s="5">
        <v>24</v>
      </c>
      <c r="E38" s="59" t="s">
        <v>36</v>
      </c>
      <c r="F38" s="60">
        <v>1</v>
      </c>
      <c r="G38" s="48">
        <v>5550</v>
      </c>
      <c r="H38" s="2">
        <v>5550</v>
      </c>
    </row>
    <row r="39" spans="1:8">
      <c r="A39" s="114" t="s">
        <v>64</v>
      </c>
      <c r="B39" s="114"/>
      <c r="C39" s="54" t="s">
        <v>65</v>
      </c>
      <c r="D39" s="5">
        <v>25</v>
      </c>
      <c r="E39" s="59" t="s">
        <v>36</v>
      </c>
      <c r="F39" s="62">
        <v>3</v>
      </c>
      <c r="G39" s="48">
        <v>13154</v>
      </c>
      <c r="H39" s="2">
        <v>39462</v>
      </c>
    </row>
    <row r="40" spans="1:8">
      <c r="A40" s="115" t="s">
        <v>66</v>
      </c>
      <c r="B40" s="116"/>
      <c r="C40" s="50" t="s">
        <v>67</v>
      </c>
      <c r="D40" s="5">
        <v>26</v>
      </c>
      <c r="E40" s="59" t="s">
        <v>36</v>
      </c>
      <c r="F40" s="62">
        <v>12</v>
      </c>
      <c r="G40" s="48">
        <v>10545</v>
      </c>
      <c r="H40" s="2">
        <v>126540</v>
      </c>
    </row>
    <row r="41" spans="1:8">
      <c r="A41" s="111" t="s">
        <v>68</v>
      </c>
      <c r="B41" s="111"/>
      <c r="C41" s="17" t="s">
        <v>69</v>
      </c>
      <c r="D41" s="5">
        <v>12</v>
      </c>
      <c r="E41" s="59" t="s">
        <v>29</v>
      </c>
      <c r="F41" s="60">
        <v>4</v>
      </c>
      <c r="G41" s="48">
        <v>11100</v>
      </c>
      <c r="H41" s="2">
        <v>44400</v>
      </c>
    </row>
    <row r="42" spans="1:8">
      <c r="A42" s="112" t="s">
        <v>70</v>
      </c>
      <c r="B42" s="113"/>
      <c r="C42" s="49" t="s">
        <v>71</v>
      </c>
      <c r="D42" s="5">
        <v>12</v>
      </c>
      <c r="E42" s="59" t="s">
        <v>29</v>
      </c>
      <c r="F42" s="60">
        <v>2</v>
      </c>
      <c r="G42" s="48">
        <v>12210</v>
      </c>
      <c r="H42" s="2">
        <v>24420</v>
      </c>
    </row>
    <row r="43" spans="1:8">
      <c r="A43" s="111" t="s">
        <v>72</v>
      </c>
      <c r="B43" s="111"/>
      <c r="C43" s="17" t="s">
        <v>73</v>
      </c>
      <c r="D43" s="5">
        <v>24</v>
      </c>
      <c r="E43" s="59" t="s">
        <v>29</v>
      </c>
      <c r="F43" s="60">
        <v>6</v>
      </c>
      <c r="G43" s="48">
        <v>11655</v>
      </c>
      <c r="H43" s="2">
        <v>69930</v>
      </c>
    </row>
    <row r="44" spans="1:8">
      <c r="A44" s="111" t="s">
        <v>74</v>
      </c>
      <c r="B44" s="111"/>
      <c r="C44" s="17" t="s">
        <v>75</v>
      </c>
      <c r="D44" s="5">
        <v>50</v>
      </c>
      <c r="E44" s="59" t="s">
        <v>29</v>
      </c>
      <c r="F44" s="60">
        <v>30</v>
      </c>
      <c r="G44" s="48">
        <v>22200</v>
      </c>
      <c r="H44" s="2">
        <v>666000</v>
      </c>
    </row>
    <row r="45" spans="1:8">
      <c r="A45" s="112" t="s">
        <v>76</v>
      </c>
      <c r="B45" s="113"/>
      <c r="C45" s="49" t="s">
        <v>77</v>
      </c>
      <c r="D45" s="5">
        <v>21</v>
      </c>
      <c r="E45" s="59" t="s">
        <v>29</v>
      </c>
      <c r="F45" s="60">
        <v>11</v>
      </c>
      <c r="G45" s="48">
        <v>35798</v>
      </c>
      <c r="H45" s="2">
        <v>393778</v>
      </c>
    </row>
    <row r="46" spans="1:8">
      <c r="A46" s="111" t="s">
        <v>78</v>
      </c>
      <c r="B46" s="111"/>
      <c r="C46" s="17" t="s">
        <v>79</v>
      </c>
      <c r="D46" s="5">
        <v>100</v>
      </c>
      <c r="E46" s="59" t="s">
        <v>80</v>
      </c>
      <c r="F46" s="60">
        <v>70</v>
      </c>
      <c r="G46" s="48">
        <v>46065</v>
      </c>
      <c r="H46" s="2">
        <v>3224550</v>
      </c>
    </row>
    <row r="47" spans="1:8">
      <c r="A47" s="111" t="s">
        <v>81</v>
      </c>
      <c r="B47" s="111"/>
      <c r="C47" s="49" t="s">
        <v>82</v>
      </c>
      <c r="D47" s="5">
        <v>11</v>
      </c>
      <c r="E47" s="59" t="s">
        <v>29</v>
      </c>
      <c r="F47" s="62">
        <v>5</v>
      </c>
      <c r="G47" s="48">
        <v>10545</v>
      </c>
      <c r="H47" s="2">
        <v>52725</v>
      </c>
    </row>
    <row r="48" spans="1:8">
      <c r="A48" s="111" t="s">
        <v>83</v>
      </c>
      <c r="B48" s="111"/>
      <c r="C48" s="17" t="s">
        <v>84</v>
      </c>
      <c r="D48" s="5">
        <v>100</v>
      </c>
      <c r="E48" s="59" t="s">
        <v>36</v>
      </c>
      <c r="F48" s="60">
        <v>100</v>
      </c>
      <c r="G48" s="2">
        <v>4125</v>
      </c>
      <c r="H48" s="2">
        <v>412500</v>
      </c>
    </row>
    <row r="49" spans="1:8">
      <c r="A49" s="111" t="s">
        <v>85</v>
      </c>
      <c r="B49" s="111"/>
      <c r="C49" s="17" t="s">
        <v>86</v>
      </c>
      <c r="D49" s="5">
        <v>160</v>
      </c>
      <c r="E49" s="59" t="s">
        <v>36</v>
      </c>
      <c r="F49" s="60">
        <v>160</v>
      </c>
      <c r="G49" s="61">
        <v>85000</v>
      </c>
      <c r="H49" s="2">
        <v>13600000</v>
      </c>
    </row>
    <row r="50" spans="1:8">
      <c r="A50" s="111" t="s">
        <v>87</v>
      </c>
      <c r="B50" s="111"/>
      <c r="C50" s="17" t="s">
        <v>88</v>
      </c>
      <c r="D50" s="5">
        <v>25</v>
      </c>
      <c r="E50" s="59" t="s">
        <v>36</v>
      </c>
      <c r="F50" s="60">
        <v>500</v>
      </c>
      <c r="G50" s="48">
        <v>23310</v>
      </c>
      <c r="H50" s="2">
        <v>11655000</v>
      </c>
    </row>
    <row r="51" spans="1:8">
      <c r="A51" s="115" t="s">
        <v>89</v>
      </c>
      <c r="B51" s="116"/>
      <c r="C51" s="50" t="s">
        <v>90</v>
      </c>
      <c r="D51" s="5">
        <v>10</v>
      </c>
      <c r="E51" s="59" t="s">
        <v>29</v>
      </c>
      <c r="F51" s="63">
        <v>2</v>
      </c>
      <c r="G51" s="48">
        <v>57720</v>
      </c>
      <c r="H51" s="2">
        <v>115440</v>
      </c>
    </row>
    <row r="52" spans="1:8">
      <c r="A52" s="111" t="s">
        <v>91</v>
      </c>
      <c r="B52" s="111"/>
      <c r="C52" s="17" t="s">
        <v>92</v>
      </c>
      <c r="D52" s="5">
        <v>10</v>
      </c>
      <c r="E52" s="59" t="s">
        <v>29</v>
      </c>
      <c r="F52" s="60">
        <v>5</v>
      </c>
      <c r="G52" s="48">
        <v>4662</v>
      </c>
      <c r="H52" s="2">
        <v>23310</v>
      </c>
    </row>
    <row r="53" spans="1:8">
      <c r="A53" s="111" t="s">
        <v>93</v>
      </c>
      <c r="B53" s="111"/>
      <c r="C53" s="17" t="s">
        <v>94</v>
      </c>
      <c r="D53" s="5">
        <v>5</v>
      </c>
      <c r="E53" s="59" t="s">
        <v>29</v>
      </c>
      <c r="F53" s="60">
        <v>3</v>
      </c>
      <c r="G53" s="48">
        <v>17594</v>
      </c>
      <c r="H53" s="2">
        <v>52782</v>
      </c>
    </row>
    <row r="54" spans="1:8">
      <c r="A54" s="111" t="s">
        <v>95</v>
      </c>
      <c r="B54" s="111"/>
      <c r="C54" s="17" t="s">
        <v>96</v>
      </c>
      <c r="D54" s="5">
        <v>14</v>
      </c>
      <c r="E54" s="59" t="s">
        <v>29</v>
      </c>
      <c r="F54" s="60">
        <v>5</v>
      </c>
      <c r="G54" s="48">
        <v>18870</v>
      </c>
      <c r="H54" s="2">
        <v>94350</v>
      </c>
    </row>
    <row r="55" spans="1:8">
      <c r="A55" s="111" t="s">
        <v>97</v>
      </c>
      <c r="B55" s="111"/>
      <c r="C55" s="17" t="s">
        <v>98</v>
      </c>
      <c r="D55" s="5">
        <v>12</v>
      </c>
      <c r="E55" s="59" t="s">
        <v>29</v>
      </c>
      <c r="F55" s="60">
        <v>4</v>
      </c>
      <c r="G55" s="48">
        <v>23310</v>
      </c>
      <c r="H55" s="2">
        <v>93240</v>
      </c>
    </row>
    <row r="56" spans="1:8">
      <c r="A56" s="111" t="s">
        <v>99</v>
      </c>
      <c r="B56" s="111"/>
      <c r="C56" s="17" t="s">
        <v>100</v>
      </c>
      <c r="D56" s="5">
        <v>50</v>
      </c>
      <c r="E56" s="59" t="s">
        <v>80</v>
      </c>
      <c r="F56" s="60">
        <v>50</v>
      </c>
      <c r="G56" s="65">
        <v>50505</v>
      </c>
      <c r="H56" s="2">
        <v>2525250</v>
      </c>
    </row>
    <row r="57" spans="1:8">
      <c r="A57" s="117" t="s">
        <v>25</v>
      </c>
      <c r="B57" s="117"/>
      <c r="C57" s="117"/>
      <c r="D57" s="117"/>
      <c r="E57" s="117"/>
      <c r="F57" s="64">
        <v>1168</v>
      </c>
      <c r="G57" s="3">
        <v>892213</v>
      </c>
      <c r="H57" s="3">
        <v>37730686</v>
      </c>
    </row>
    <row r="58" spans="1:8">
      <c r="A58" s="109" t="s">
        <v>101</v>
      </c>
      <c r="B58" s="109"/>
      <c r="C58" s="109"/>
      <c r="D58" s="109"/>
      <c r="E58" s="109"/>
      <c r="F58" s="110"/>
      <c r="G58" s="109"/>
      <c r="H58" s="109"/>
    </row>
    <row r="59" spans="1:8">
      <c r="A59" s="111" t="s">
        <v>102</v>
      </c>
      <c r="B59" s="111"/>
      <c r="C59" s="17" t="s">
        <v>103</v>
      </c>
      <c r="D59" s="5">
        <v>10</v>
      </c>
      <c r="E59" s="59" t="s">
        <v>36</v>
      </c>
      <c r="F59" s="62">
        <v>3</v>
      </c>
      <c r="G59" s="65">
        <v>23255</v>
      </c>
      <c r="H59" s="2">
        <v>69765</v>
      </c>
    </row>
    <row r="60" spans="1:8">
      <c r="A60" s="111" t="s">
        <v>104</v>
      </c>
      <c r="B60" s="111"/>
      <c r="C60" s="17" t="s">
        <v>105</v>
      </c>
      <c r="D60" s="5">
        <v>11</v>
      </c>
      <c r="E60" s="59" t="s">
        <v>36</v>
      </c>
      <c r="F60" s="62">
        <v>4</v>
      </c>
      <c r="G60" s="65">
        <v>25086</v>
      </c>
      <c r="H60" s="2">
        <v>100344</v>
      </c>
    </row>
    <row r="61" spans="1:8">
      <c r="A61" s="111" t="s">
        <v>106</v>
      </c>
      <c r="B61" s="111"/>
      <c r="C61" s="17" t="s">
        <v>107</v>
      </c>
      <c r="D61" s="5">
        <v>10</v>
      </c>
      <c r="E61" s="59" t="s">
        <v>36</v>
      </c>
      <c r="F61" s="60">
        <v>4</v>
      </c>
      <c r="G61" s="65">
        <v>24032</v>
      </c>
      <c r="H61" s="2">
        <v>96128</v>
      </c>
    </row>
    <row r="62" spans="1:8">
      <c r="A62" s="119" t="s">
        <v>108</v>
      </c>
      <c r="B62" s="119"/>
      <c r="C62" s="17" t="s">
        <v>109</v>
      </c>
      <c r="D62" s="5">
        <v>5</v>
      </c>
      <c r="E62" s="59" t="s">
        <v>110</v>
      </c>
      <c r="F62" s="60">
        <v>5</v>
      </c>
      <c r="G62" s="66">
        <v>124459</v>
      </c>
      <c r="H62" s="2">
        <v>622295</v>
      </c>
    </row>
    <row r="63" spans="1:8">
      <c r="A63" s="112" t="s">
        <v>111</v>
      </c>
      <c r="B63" s="113"/>
      <c r="C63" s="17" t="s">
        <v>112</v>
      </c>
      <c r="D63" s="5">
        <v>10</v>
      </c>
      <c r="E63" s="59" t="s">
        <v>110</v>
      </c>
      <c r="F63" s="60">
        <v>4</v>
      </c>
      <c r="G63" s="65">
        <v>73538</v>
      </c>
      <c r="H63" s="2">
        <v>294152</v>
      </c>
    </row>
    <row r="64" spans="1:8">
      <c r="A64" s="111" t="s">
        <v>113</v>
      </c>
      <c r="B64" s="111"/>
      <c r="C64" s="17" t="s">
        <v>114</v>
      </c>
      <c r="D64" s="5">
        <v>453</v>
      </c>
      <c r="E64" s="59" t="s">
        <v>110</v>
      </c>
      <c r="F64" s="60">
        <v>50</v>
      </c>
      <c r="G64" s="66">
        <v>70000</v>
      </c>
      <c r="H64" s="2">
        <v>3500000</v>
      </c>
    </row>
    <row r="65" spans="1:8">
      <c r="A65" s="117" t="s">
        <v>25</v>
      </c>
      <c r="B65" s="117"/>
      <c r="C65" s="117"/>
      <c r="D65" s="117"/>
      <c r="E65" s="117"/>
      <c r="F65" s="64">
        <v>70</v>
      </c>
      <c r="G65" s="3">
        <v>340370</v>
      </c>
      <c r="H65" s="3">
        <v>4682684</v>
      </c>
    </row>
    <row r="66" spans="1:8">
      <c r="A66" s="118" t="s">
        <v>115</v>
      </c>
      <c r="B66" s="118"/>
      <c r="C66" s="118"/>
      <c r="D66" s="118"/>
      <c r="E66" s="118"/>
      <c r="F66" s="118"/>
      <c r="G66" s="118"/>
      <c r="H66" s="118"/>
    </row>
    <row r="67" spans="1:8">
      <c r="A67" s="120" t="s">
        <v>116</v>
      </c>
      <c r="B67" s="120"/>
      <c r="C67" s="35" t="s">
        <v>117</v>
      </c>
      <c r="D67" s="36">
        <v>11</v>
      </c>
      <c r="E67" s="37" t="s">
        <v>39</v>
      </c>
      <c r="F67" s="53">
        <v>9</v>
      </c>
      <c r="G67" s="38">
        <v>191250</v>
      </c>
      <c r="H67" s="38">
        <v>1721250</v>
      </c>
    </row>
    <row r="68" spans="1:8">
      <c r="A68" s="103" t="s">
        <v>118</v>
      </c>
      <c r="B68" s="103"/>
      <c r="C68" s="35" t="s">
        <v>119</v>
      </c>
      <c r="D68" s="36">
        <v>11</v>
      </c>
      <c r="E68" s="37" t="s">
        <v>29</v>
      </c>
      <c r="F68" s="53">
        <v>9</v>
      </c>
      <c r="G68" s="38">
        <v>188750</v>
      </c>
      <c r="H68" s="38">
        <v>1698750</v>
      </c>
    </row>
    <row r="69" spans="1:8">
      <c r="A69" s="104" t="s">
        <v>120</v>
      </c>
      <c r="B69" s="105"/>
      <c r="C69" s="35" t="s">
        <v>121</v>
      </c>
      <c r="D69" s="36"/>
      <c r="E69" s="37" t="s">
        <v>29</v>
      </c>
      <c r="F69" s="36">
        <v>900</v>
      </c>
      <c r="G69" s="38">
        <v>177000.6</v>
      </c>
      <c r="H69" s="38">
        <v>159300540</v>
      </c>
    </row>
    <row r="70" spans="1:8">
      <c r="A70" s="117" t="s">
        <v>25</v>
      </c>
      <c r="B70" s="117"/>
      <c r="C70" s="117"/>
      <c r="D70" s="117"/>
      <c r="E70" s="117"/>
      <c r="F70" s="39">
        <v>918</v>
      </c>
      <c r="G70" s="3">
        <v>557000.6</v>
      </c>
      <c r="H70" s="3">
        <v>162720540</v>
      </c>
    </row>
    <row r="71" spans="1:8">
      <c r="A71" s="122" t="s">
        <v>122</v>
      </c>
      <c r="B71" s="122"/>
      <c r="C71" s="122"/>
      <c r="D71" s="122"/>
      <c r="E71" s="122"/>
      <c r="F71" s="122"/>
      <c r="G71" s="122"/>
      <c r="H71" s="122"/>
    </row>
    <row r="72" spans="1:8">
      <c r="A72" s="117" t="s">
        <v>25</v>
      </c>
      <c r="B72" s="117"/>
      <c r="C72" s="117"/>
      <c r="D72" s="117"/>
      <c r="E72" s="117"/>
      <c r="F72" s="40">
        <v>2976</v>
      </c>
      <c r="G72" s="3">
        <v>1824883.6</v>
      </c>
      <c r="H72" s="3">
        <v>209639910</v>
      </c>
    </row>
    <row r="73" spans="1:8">
      <c r="A73" s="46"/>
      <c r="B73" s="46"/>
      <c r="C73" s="30"/>
      <c r="D73" s="30"/>
      <c r="E73" s="32"/>
      <c r="F73" s="21"/>
      <c r="G73" s="31"/>
      <c r="H73" s="31"/>
    </row>
    <row r="74" spans="1:8">
      <c r="A74" s="99" t="s">
        <v>123</v>
      </c>
      <c r="B74" s="99"/>
      <c r="C74" s="99"/>
      <c r="D74" s="99"/>
      <c r="E74" s="99"/>
      <c r="F74" s="99"/>
      <c r="G74" s="99"/>
      <c r="H74" s="99"/>
    </row>
    <row r="75" spans="1:8">
      <c r="A75" s="15"/>
      <c r="B75" s="15"/>
      <c r="C75" s="16"/>
      <c r="D75" s="21"/>
      <c r="E75" s="16"/>
      <c r="F75" s="16"/>
      <c r="G75" s="15"/>
      <c r="H75" s="15"/>
    </row>
    <row r="76" spans="1:8">
      <c r="A76" s="33"/>
      <c r="B76" s="33"/>
      <c r="C76" s="23"/>
      <c r="D76" s="30"/>
      <c r="E76" s="121" t="s">
        <v>138</v>
      </c>
      <c r="F76" s="121"/>
      <c r="G76" s="121"/>
      <c r="H76" s="121"/>
    </row>
    <row r="77" spans="1:8">
      <c r="A77" s="121" t="s">
        <v>125</v>
      </c>
      <c r="B77" s="121"/>
      <c r="C77" s="121"/>
      <c r="D77" s="30"/>
      <c r="E77" s="121" t="s">
        <v>126</v>
      </c>
      <c r="F77" s="121"/>
      <c r="G77" s="121"/>
      <c r="H77" s="121"/>
    </row>
    <row r="78" spans="1:8">
      <c r="A78" s="18"/>
      <c r="B78" s="18"/>
      <c r="C78" s="22"/>
      <c r="D78" s="30"/>
      <c r="E78" s="34"/>
      <c r="F78" s="14"/>
      <c r="G78" s="4"/>
      <c r="H78" s="4"/>
    </row>
    <row r="79" spans="1:8">
      <c r="A79" s="18"/>
      <c r="B79" s="18"/>
      <c r="C79" s="22"/>
      <c r="D79" s="30"/>
      <c r="E79" s="34"/>
      <c r="F79" s="14"/>
      <c r="G79" s="4"/>
      <c r="H79" s="4"/>
    </row>
    <row r="80" spans="1:8">
      <c r="A80" s="18"/>
      <c r="B80" s="18"/>
      <c r="C80" s="22"/>
      <c r="D80" s="30"/>
      <c r="E80" s="34"/>
      <c r="F80" s="14"/>
      <c r="G80" s="4"/>
      <c r="H80" s="4"/>
    </row>
    <row r="81" spans="1:8">
      <c r="A81" s="123" t="s">
        <v>127</v>
      </c>
      <c r="B81" s="123"/>
      <c r="C81" s="123"/>
      <c r="D81" s="30"/>
      <c r="E81" s="123" t="s">
        <v>128</v>
      </c>
      <c r="F81" s="123"/>
      <c r="G81" s="123"/>
      <c r="H81" s="123"/>
    </row>
    <row r="82" spans="1:8">
      <c r="A82" s="121" t="s">
        <v>129</v>
      </c>
      <c r="B82" s="121"/>
      <c r="C82" s="121"/>
      <c r="D82" s="30"/>
      <c r="E82" s="121" t="s">
        <v>130</v>
      </c>
      <c r="F82" s="121"/>
      <c r="G82" s="121"/>
      <c r="H82" s="121"/>
    </row>
    <row r="83" spans="1:8">
      <c r="A83" s="33"/>
      <c r="B83" s="33"/>
      <c r="C83" s="23"/>
      <c r="D83" s="30"/>
      <c r="E83" s="34"/>
      <c r="F83" s="14"/>
      <c r="G83" s="4"/>
      <c r="H83" s="33"/>
    </row>
    <row r="84" spans="1:8">
      <c r="A84" s="121" t="s">
        <v>131</v>
      </c>
      <c r="B84" s="121"/>
      <c r="C84" s="121"/>
      <c r="D84" s="121"/>
      <c r="E84" s="121"/>
      <c r="F84" s="121"/>
      <c r="G84" s="121"/>
      <c r="H84" s="121"/>
    </row>
    <row r="85" spans="1:8">
      <c r="A85" s="121" t="s">
        <v>132</v>
      </c>
      <c r="B85" s="121"/>
      <c r="C85" s="121"/>
      <c r="D85" s="121"/>
      <c r="E85" s="121"/>
      <c r="F85" s="121"/>
      <c r="G85" s="121"/>
      <c r="H85" s="121"/>
    </row>
    <row r="86" spans="1:8">
      <c r="A86" s="4"/>
      <c r="B86" s="4"/>
      <c r="C86" s="34"/>
      <c r="D86" s="30"/>
      <c r="E86" s="34"/>
      <c r="F86" s="14"/>
      <c r="G86" s="4"/>
      <c r="H86" s="4"/>
    </row>
    <row r="87" spans="1:8">
      <c r="A87" s="4"/>
      <c r="B87" s="4"/>
      <c r="C87" s="34"/>
      <c r="D87" s="30"/>
      <c r="E87" s="34"/>
      <c r="F87" s="14"/>
      <c r="G87" s="4"/>
      <c r="H87" s="4"/>
    </row>
    <row r="88" spans="1:8">
      <c r="A88" s="4"/>
      <c r="B88" s="4"/>
      <c r="C88" s="34"/>
      <c r="D88" s="30"/>
      <c r="E88" s="34"/>
      <c r="F88" s="14"/>
      <c r="G88" s="4"/>
      <c r="H88" s="4"/>
    </row>
    <row r="89" spans="1:8">
      <c r="A89" s="33"/>
      <c r="B89" s="33"/>
      <c r="C89" s="23"/>
      <c r="D89" s="30"/>
      <c r="E89" s="34"/>
      <c r="F89" s="13"/>
      <c r="G89" s="33"/>
      <c r="H89" s="33"/>
    </row>
    <row r="90" spans="1:8">
      <c r="A90" s="123" t="s">
        <v>133</v>
      </c>
      <c r="B90" s="123"/>
      <c r="C90" s="123"/>
      <c r="D90" s="123"/>
      <c r="E90" s="123"/>
      <c r="F90" s="123"/>
      <c r="G90" s="123"/>
      <c r="H90" s="123"/>
    </row>
    <row r="91" spans="1:8">
      <c r="A91" s="121" t="s">
        <v>134</v>
      </c>
      <c r="B91" s="121"/>
      <c r="C91" s="121"/>
      <c r="D91" s="121"/>
      <c r="E91" s="121"/>
      <c r="F91" s="121"/>
      <c r="G91" s="121"/>
      <c r="H91" s="121"/>
    </row>
  </sheetData>
  <mergeCells count="81">
    <mergeCell ref="A90:H90"/>
    <mergeCell ref="A91:H91"/>
    <mergeCell ref="A81:C81"/>
    <mergeCell ref="E81:H81"/>
    <mergeCell ref="A82:C82"/>
    <mergeCell ref="E82:H82"/>
    <mergeCell ref="A84:H84"/>
    <mergeCell ref="A85:H85"/>
    <mergeCell ref="A77:C77"/>
    <mergeCell ref="E77:H77"/>
    <mergeCell ref="A64:B64"/>
    <mergeCell ref="A65:E65"/>
    <mergeCell ref="A66:H66"/>
    <mergeCell ref="A67:B67"/>
    <mergeCell ref="A68:B68"/>
    <mergeCell ref="A69:B69"/>
    <mergeCell ref="A70:E70"/>
    <mergeCell ref="A71:H71"/>
    <mergeCell ref="A72:E72"/>
    <mergeCell ref="A74:H74"/>
    <mergeCell ref="E76:H76"/>
    <mergeCell ref="A63:B63"/>
    <mergeCell ref="A52:B52"/>
    <mergeCell ref="A53:B53"/>
    <mergeCell ref="A54:B54"/>
    <mergeCell ref="A55:B55"/>
    <mergeCell ref="A56:B56"/>
    <mergeCell ref="A57:E57"/>
    <mergeCell ref="A58:H58"/>
    <mergeCell ref="A59:B59"/>
    <mergeCell ref="A60:B60"/>
    <mergeCell ref="A61:B61"/>
    <mergeCell ref="A62:B62"/>
    <mergeCell ref="A51:B51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39:B39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27:B27"/>
    <mergeCell ref="A16:H16"/>
    <mergeCell ref="A17:B17"/>
    <mergeCell ref="A18:B18"/>
    <mergeCell ref="A19:B19"/>
    <mergeCell ref="A20:E20"/>
    <mergeCell ref="A21:H21"/>
    <mergeCell ref="A22:B22"/>
    <mergeCell ref="A23:B23"/>
    <mergeCell ref="A24:B24"/>
    <mergeCell ref="A25:B25"/>
    <mergeCell ref="A26:B26"/>
    <mergeCell ref="A15:B15"/>
    <mergeCell ref="A1:H1"/>
    <mergeCell ref="A2:H2"/>
    <mergeCell ref="A3:H3"/>
    <mergeCell ref="A4:H4"/>
    <mergeCell ref="A5:H5"/>
    <mergeCell ref="A8:H8"/>
    <mergeCell ref="A9:H9"/>
    <mergeCell ref="A11:H11"/>
    <mergeCell ref="A12:H12"/>
    <mergeCell ref="A13:H13"/>
    <mergeCell ref="A14:B14"/>
  </mergeCells>
  <hyperlinks>
    <hyperlink ref="A5" r:id="rId1" display="mailto:dlhbanjarmasin@gmail.com"/>
  </hyperlinks>
  <pageMargins left="0.25" right="0.25" top="0.75" bottom="0.75" header="0.3" footer="0.3"/>
  <pageSetup paperSize="10000" scale="99" orientation="portrait" horizontalDpi="0" verticalDpi="0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91"/>
  <sheetViews>
    <sheetView view="pageBreakPreview" zoomScaleNormal="100" zoomScaleSheetLayoutView="100" workbookViewId="0">
      <selection activeCell="A14" sqref="A14:B14"/>
    </sheetView>
  </sheetViews>
  <sheetFormatPr defaultRowHeight="14.5"/>
  <cols>
    <col min="1" max="2" width="9.453125" customWidth="1"/>
    <col min="3" max="3" width="30.6328125" customWidth="1"/>
    <col min="7" max="7" width="12.36328125" customWidth="1"/>
    <col min="8" max="8" width="15.26953125" customWidth="1"/>
  </cols>
  <sheetData>
    <row r="1" spans="1:8" ht="17.5">
      <c r="A1" s="92" t="s">
        <v>0</v>
      </c>
      <c r="B1" s="92"/>
      <c r="C1" s="92"/>
      <c r="D1" s="92"/>
      <c r="E1" s="92"/>
      <c r="F1" s="92"/>
      <c r="G1" s="92"/>
      <c r="H1" s="92"/>
    </row>
    <row r="2" spans="1:8" ht="22">
      <c r="A2" s="93" t="s">
        <v>1</v>
      </c>
      <c r="B2" s="93"/>
      <c r="C2" s="93"/>
      <c r="D2" s="93"/>
      <c r="E2" s="93"/>
      <c r="F2" s="93"/>
      <c r="G2" s="93"/>
      <c r="H2" s="93"/>
    </row>
    <row r="3" spans="1:8">
      <c r="A3" s="94" t="s">
        <v>2</v>
      </c>
      <c r="B3" s="94"/>
      <c r="C3" s="94"/>
      <c r="D3" s="94"/>
      <c r="E3" s="94"/>
      <c r="F3" s="94"/>
      <c r="G3" s="94"/>
      <c r="H3" s="94"/>
    </row>
    <row r="4" spans="1:8">
      <c r="A4" s="94" t="s">
        <v>3</v>
      </c>
      <c r="B4" s="94"/>
      <c r="C4" s="94"/>
      <c r="D4" s="94"/>
      <c r="E4" s="94"/>
      <c r="F4" s="94"/>
      <c r="G4" s="94"/>
      <c r="H4" s="94"/>
    </row>
    <row r="5" spans="1:8">
      <c r="A5" s="95" t="s">
        <v>4</v>
      </c>
      <c r="B5" s="95"/>
      <c r="C5" s="95"/>
      <c r="D5" s="95"/>
      <c r="E5" s="95"/>
      <c r="F5" s="95"/>
      <c r="G5" s="95"/>
      <c r="H5" s="95"/>
    </row>
    <row r="6" spans="1:8" ht="15" thickBot="1">
      <c r="A6" s="7"/>
      <c r="B6" s="8"/>
      <c r="C6" s="9"/>
      <c r="D6" s="9"/>
      <c r="E6" s="9"/>
      <c r="F6" s="55"/>
      <c r="G6" s="8"/>
      <c r="H6" s="8"/>
    </row>
    <row r="7" spans="1:8" ht="15" thickTop="1">
      <c r="A7" s="10"/>
      <c r="B7" s="11"/>
      <c r="C7" s="6"/>
      <c r="D7" s="6"/>
      <c r="E7" s="6"/>
      <c r="F7" s="47"/>
      <c r="G7" s="11"/>
      <c r="H7" s="11"/>
    </row>
    <row r="8" spans="1:8">
      <c r="A8" s="96" t="s">
        <v>5</v>
      </c>
      <c r="B8" s="96"/>
      <c r="C8" s="96"/>
      <c r="D8" s="96"/>
      <c r="E8" s="96"/>
      <c r="F8" s="96"/>
      <c r="G8" s="96"/>
      <c r="H8" s="96"/>
    </row>
    <row r="9" spans="1:8">
      <c r="A9" s="97" t="s">
        <v>137</v>
      </c>
      <c r="B9" s="97"/>
      <c r="C9" s="97"/>
      <c r="D9" s="97"/>
      <c r="E9" s="97"/>
      <c r="F9" s="97"/>
      <c r="G9" s="97"/>
      <c r="H9" s="97"/>
    </row>
    <row r="10" spans="1:8">
      <c r="A10" s="12"/>
      <c r="B10" s="12"/>
      <c r="C10" s="13"/>
      <c r="D10" s="13"/>
      <c r="E10" s="14"/>
      <c r="F10" s="13"/>
      <c r="G10" s="12"/>
      <c r="H10" s="12"/>
    </row>
    <row r="11" spans="1:8">
      <c r="A11" s="98" t="s">
        <v>140</v>
      </c>
      <c r="B11" s="98"/>
      <c r="C11" s="98"/>
      <c r="D11" s="98"/>
      <c r="E11" s="98"/>
      <c r="F11" s="98"/>
      <c r="G11" s="98"/>
      <c r="H11" s="98"/>
    </row>
    <row r="12" spans="1:8">
      <c r="A12" s="99" t="s">
        <v>8</v>
      </c>
      <c r="B12" s="99"/>
      <c r="C12" s="99"/>
      <c r="D12" s="99"/>
      <c r="E12" s="99"/>
      <c r="F12" s="99"/>
      <c r="G12" s="99"/>
      <c r="H12" s="99"/>
    </row>
    <row r="13" spans="1:8">
      <c r="A13" s="100" t="s">
        <v>142</v>
      </c>
      <c r="B13" s="100"/>
      <c r="C13" s="100"/>
      <c r="D13" s="100"/>
      <c r="E13" s="100"/>
      <c r="F13" s="100"/>
      <c r="G13" s="100"/>
      <c r="H13" s="100"/>
    </row>
    <row r="14" spans="1:8" ht="34.5">
      <c r="A14" s="91" t="s">
        <v>10</v>
      </c>
      <c r="B14" s="91"/>
      <c r="C14" s="25" t="s">
        <v>11</v>
      </c>
      <c r="D14" s="19" t="s">
        <v>12</v>
      </c>
      <c r="E14" s="26" t="s">
        <v>13</v>
      </c>
      <c r="F14" s="41" t="s">
        <v>14</v>
      </c>
      <c r="G14" s="20" t="s">
        <v>15</v>
      </c>
      <c r="H14" s="20" t="s">
        <v>16</v>
      </c>
    </row>
    <row r="15" spans="1:8">
      <c r="A15" s="91">
        <v>1</v>
      </c>
      <c r="B15" s="91"/>
      <c r="C15" s="25">
        <v>2</v>
      </c>
      <c r="D15" s="25">
        <v>3</v>
      </c>
      <c r="E15" s="27">
        <v>4</v>
      </c>
      <c r="F15" s="41">
        <v>5</v>
      </c>
      <c r="G15" s="20">
        <v>6</v>
      </c>
      <c r="H15" s="20">
        <v>7</v>
      </c>
    </row>
    <row r="16" spans="1:8">
      <c r="A16" s="102" t="s">
        <v>17</v>
      </c>
      <c r="B16" s="102"/>
      <c r="C16" s="102"/>
      <c r="D16" s="102"/>
      <c r="E16" s="102"/>
      <c r="F16" s="102"/>
      <c r="G16" s="102"/>
      <c r="H16" s="102"/>
    </row>
    <row r="17" spans="1:8">
      <c r="A17" s="103" t="s">
        <v>18</v>
      </c>
      <c r="B17" s="103"/>
      <c r="C17" s="42" t="s">
        <v>19</v>
      </c>
      <c r="D17" s="45">
        <v>45</v>
      </c>
      <c r="E17" s="37" t="s">
        <v>20</v>
      </c>
      <c r="F17" s="52">
        <v>20</v>
      </c>
      <c r="G17" s="56">
        <v>25300</v>
      </c>
      <c r="H17" s="44">
        <v>506000</v>
      </c>
    </row>
    <row r="18" spans="1:8">
      <c r="A18" s="104" t="s">
        <v>21</v>
      </c>
      <c r="B18" s="105"/>
      <c r="C18" s="42" t="s">
        <v>22</v>
      </c>
      <c r="D18" s="43">
        <v>1000</v>
      </c>
      <c r="E18" s="37" t="s">
        <v>20</v>
      </c>
      <c r="F18" s="52">
        <v>500</v>
      </c>
      <c r="G18" s="56">
        <v>5000</v>
      </c>
      <c r="H18" s="44">
        <v>2500000</v>
      </c>
    </row>
    <row r="19" spans="1:8">
      <c r="A19" s="103" t="s">
        <v>23</v>
      </c>
      <c r="B19" s="103"/>
      <c r="C19" s="42" t="s">
        <v>24</v>
      </c>
      <c r="D19" s="43">
        <v>490</v>
      </c>
      <c r="E19" s="37" t="s">
        <v>20</v>
      </c>
      <c r="F19" s="52">
        <v>300</v>
      </c>
      <c r="G19" s="56">
        <v>5000</v>
      </c>
      <c r="H19" s="44">
        <v>1500000</v>
      </c>
    </row>
    <row r="20" spans="1:8">
      <c r="A20" s="106" t="s">
        <v>25</v>
      </c>
      <c r="B20" s="107"/>
      <c r="C20" s="107"/>
      <c r="D20" s="107"/>
      <c r="E20" s="108"/>
      <c r="F20" s="57">
        <v>820</v>
      </c>
      <c r="G20" s="58">
        <v>35300</v>
      </c>
      <c r="H20" s="51">
        <v>4506000</v>
      </c>
    </row>
    <row r="21" spans="1:8">
      <c r="A21" s="109" t="s">
        <v>26</v>
      </c>
      <c r="B21" s="109"/>
      <c r="C21" s="109"/>
      <c r="D21" s="109"/>
      <c r="E21" s="109"/>
      <c r="F21" s="110"/>
      <c r="G21" s="109"/>
      <c r="H21" s="109"/>
    </row>
    <row r="22" spans="1:8">
      <c r="A22" s="111" t="s">
        <v>27</v>
      </c>
      <c r="B22" s="111"/>
      <c r="C22" s="17" t="s">
        <v>28</v>
      </c>
      <c r="D22" s="5">
        <v>5</v>
      </c>
      <c r="E22" s="59" t="s">
        <v>29</v>
      </c>
      <c r="F22" s="60">
        <v>4</v>
      </c>
      <c r="G22" s="48">
        <v>31635</v>
      </c>
      <c r="H22" s="2">
        <v>126540</v>
      </c>
    </row>
    <row r="23" spans="1:8">
      <c r="A23" s="111" t="s">
        <v>30</v>
      </c>
      <c r="B23" s="111"/>
      <c r="C23" s="17" t="s">
        <v>31</v>
      </c>
      <c r="D23" s="5">
        <v>10</v>
      </c>
      <c r="E23" s="59" t="s">
        <v>29</v>
      </c>
      <c r="F23" s="60">
        <v>6</v>
      </c>
      <c r="G23" s="48">
        <v>22755</v>
      </c>
      <c r="H23" s="2">
        <v>136530</v>
      </c>
    </row>
    <row r="24" spans="1:8">
      <c r="A24" s="111" t="s">
        <v>32</v>
      </c>
      <c r="B24" s="111"/>
      <c r="C24" s="17" t="s">
        <v>33</v>
      </c>
      <c r="D24" s="5">
        <v>10</v>
      </c>
      <c r="E24" s="59" t="s">
        <v>29</v>
      </c>
      <c r="F24" s="60">
        <v>10</v>
      </c>
      <c r="G24" s="48">
        <v>42735</v>
      </c>
      <c r="H24" s="2">
        <v>427350</v>
      </c>
    </row>
    <row r="25" spans="1:8">
      <c r="A25" s="111" t="s">
        <v>34</v>
      </c>
      <c r="B25" s="111"/>
      <c r="C25" s="17" t="s">
        <v>35</v>
      </c>
      <c r="D25" s="5">
        <v>51</v>
      </c>
      <c r="E25" s="59" t="s">
        <v>36</v>
      </c>
      <c r="F25" s="60">
        <v>20</v>
      </c>
      <c r="G25" s="48">
        <v>4662</v>
      </c>
      <c r="H25" s="2">
        <v>93240</v>
      </c>
    </row>
    <row r="26" spans="1:8">
      <c r="A26" s="111" t="s">
        <v>37</v>
      </c>
      <c r="B26" s="111"/>
      <c r="C26" s="17" t="s">
        <v>38</v>
      </c>
      <c r="D26" s="5">
        <v>10</v>
      </c>
      <c r="E26" s="59" t="s">
        <v>39</v>
      </c>
      <c r="F26" s="60">
        <v>3</v>
      </c>
      <c r="G26" s="48">
        <v>22200</v>
      </c>
      <c r="H26" s="2">
        <v>66600</v>
      </c>
    </row>
    <row r="27" spans="1:8">
      <c r="A27" s="101" t="s">
        <v>40</v>
      </c>
      <c r="B27" s="101"/>
      <c r="C27" s="17" t="s">
        <v>41</v>
      </c>
      <c r="D27" s="5">
        <v>5</v>
      </c>
      <c r="E27" s="59" t="s">
        <v>39</v>
      </c>
      <c r="F27" s="60">
        <v>1</v>
      </c>
      <c r="G27" s="48">
        <v>115440</v>
      </c>
      <c r="H27" s="2">
        <v>115440</v>
      </c>
    </row>
    <row r="28" spans="1:8">
      <c r="A28" s="111" t="s">
        <v>42</v>
      </c>
      <c r="B28" s="111"/>
      <c r="C28" s="17" t="s">
        <v>43</v>
      </c>
      <c r="D28" s="5">
        <v>50</v>
      </c>
      <c r="E28" s="59" t="s">
        <v>29</v>
      </c>
      <c r="F28" s="60">
        <v>9</v>
      </c>
      <c r="G28" s="48">
        <v>29970</v>
      </c>
      <c r="H28" s="2">
        <v>269730</v>
      </c>
    </row>
    <row r="29" spans="1:8">
      <c r="A29" s="111" t="s">
        <v>44</v>
      </c>
      <c r="B29" s="111"/>
      <c r="C29" s="17" t="s">
        <v>45</v>
      </c>
      <c r="D29" s="5">
        <v>25</v>
      </c>
      <c r="E29" s="59" t="s">
        <v>29</v>
      </c>
      <c r="F29" s="60">
        <v>11</v>
      </c>
      <c r="G29" s="48">
        <v>5883</v>
      </c>
      <c r="H29" s="2">
        <v>64713</v>
      </c>
    </row>
    <row r="30" spans="1:8">
      <c r="A30" s="111" t="s">
        <v>46</v>
      </c>
      <c r="B30" s="111"/>
      <c r="C30" s="17" t="s">
        <v>47</v>
      </c>
      <c r="D30" s="5">
        <v>51</v>
      </c>
      <c r="E30" s="59" t="s">
        <v>36</v>
      </c>
      <c r="F30" s="60">
        <v>8</v>
      </c>
      <c r="G30" s="48">
        <v>5717</v>
      </c>
      <c r="H30" s="2">
        <v>45736</v>
      </c>
    </row>
    <row r="31" spans="1:8">
      <c r="A31" s="111" t="s">
        <v>48</v>
      </c>
      <c r="B31" s="111"/>
      <c r="C31" s="17" t="s">
        <v>49</v>
      </c>
      <c r="D31" s="5">
        <v>50</v>
      </c>
      <c r="E31" s="59" t="s">
        <v>29</v>
      </c>
      <c r="F31" s="60">
        <v>48</v>
      </c>
      <c r="G31" s="48">
        <v>46898</v>
      </c>
      <c r="H31" s="2">
        <v>2251104</v>
      </c>
    </row>
    <row r="32" spans="1:8">
      <c r="A32" s="111" t="s">
        <v>50</v>
      </c>
      <c r="B32" s="111"/>
      <c r="C32" s="17" t="s">
        <v>51</v>
      </c>
      <c r="D32" s="5">
        <v>50</v>
      </c>
      <c r="E32" s="59" t="s">
        <v>36</v>
      </c>
      <c r="F32" s="60">
        <v>38</v>
      </c>
      <c r="G32" s="48">
        <v>11100</v>
      </c>
      <c r="H32" s="2">
        <v>421800</v>
      </c>
    </row>
    <row r="33" spans="1:8">
      <c r="A33" s="111" t="s">
        <v>52</v>
      </c>
      <c r="B33" s="111"/>
      <c r="C33" s="17" t="s">
        <v>53</v>
      </c>
      <c r="D33" s="5">
        <v>10</v>
      </c>
      <c r="E33" s="59" t="s">
        <v>29</v>
      </c>
      <c r="F33" s="60">
        <v>8</v>
      </c>
      <c r="G33" s="48">
        <v>23310</v>
      </c>
      <c r="H33" s="2">
        <v>186480</v>
      </c>
    </row>
    <row r="34" spans="1:8">
      <c r="A34" s="111" t="s">
        <v>54</v>
      </c>
      <c r="B34" s="111"/>
      <c r="C34" s="17" t="s">
        <v>55</v>
      </c>
      <c r="D34" s="5">
        <v>3</v>
      </c>
      <c r="E34" s="59" t="s">
        <v>29</v>
      </c>
      <c r="F34" s="60">
        <v>3</v>
      </c>
      <c r="G34" s="48">
        <v>13320</v>
      </c>
      <c r="H34" s="2">
        <v>39960</v>
      </c>
    </row>
    <row r="35" spans="1:8">
      <c r="A35" s="111" t="s">
        <v>56</v>
      </c>
      <c r="B35" s="111"/>
      <c r="C35" s="17" t="s">
        <v>57</v>
      </c>
      <c r="D35" s="5">
        <v>25</v>
      </c>
      <c r="E35" s="59" t="s">
        <v>36</v>
      </c>
      <c r="F35" s="60">
        <v>3</v>
      </c>
      <c r="G35" s="48">
        <v>28860</v>
      </c>
      <c r="H35" s="2">
        <v>86580</v>
      </c>
    </row>
    <row r="36" spans="1:8">
      <c r="A36" s="111" t="s">
        <v>58</v>
      </c>
      <c r="B36" s="111"/>
      <c r="C36" s="17" t="s">
        <v>59</v>
      </c>
      <c r="D36" s="5">
        <v>25</v>
      </c>
      <c r="E36" s="59" t="s">
        <v>36</v>
      </c>
      <c r="F36" s="60">
        <v>5</v>
      </c>
      <c r="G36" s="48">
        <v>19148</v>
      </c>
      <c r="H36" s="2">
        <v>95740</v>
      </c>
    </row>
    <row r="37" spans="1:8">
      <c r="A37" s="111" t="s">
        <v>60</v>
      </c>
      <c r="B37" s="111"/>
      <c r="C37" s="17" t="s">
        <v>61</v>
      </c>
      <c r="D37" s="5">
        <v>59</v>
      </c>
      <c r="E37" s="59" t="s">
        <v>36</v>
      </c>
      <c r="F37" s="60">
        <v>18</v>
      </c>
      <c r="G37" s="48">
        <v>4662</v>
      </c>
      <c r="H37" s="2">
        <v>83916</v>
      </c>
    </row>
    <row r="38" spans="1:8">
      <c r="A38" s="111" t="s">
        <v>62</v>
      </c>
      <c r="B38" s="111"/>
      <c r="C38" s="17" t="s">
        <v>63</v>
      </c>
      <c r="D38" s="5">
        <v>24</v>
      </c>
      <c r="E38" s="59" t="s">
        <v>36</v>
      </c>
      <c r="F38" s="60">
        <v>1</v>
      </c>
      <c r="G38" s="48">
        <v>5550</v>
      </c>
      <c r="H38" s="2">
        <v>5550</v>
      </c>
    </row>
    <row r="39" spans="1:8">
      <c r="A39" s="114" t="s">
        <v>64</v>
      </c>
      <c r="B39" s="114"/>
      <c r="C39" s="54" t="s">
        <v>65</v>
      </c>
      <c r="D39" s="5">
        <v>25</v>
      </c>
      <c r="E39" s="59" t="s">
        <v>36</v>
      </c>
      <c r="F39" s="62">
        <v>3</v>
      </c>
      <c r="G39" s="48">
        <v>13154</v>
      </c>
      <c r="H39" s="2">
        <v>39462</v>
      </c>
    </row>
    <row r="40" spans="1:8">
      <c r="A40" s="115" t="s">
        <v>66</v>
      </c>
      <c r="B40" s="116"/>
      <c r="C40" s="50" t="s">
        <v>67</v>
      </c>
      <c r="D40" s="5">
        <v>26</v>
      </c>
      <c r="E40" s="59" t="s">
        <v>36</v>
      </c>
      <c r="F40" s="62">
        <v>12</v>
      </c>
      <c r="G40" s="48">
        <v>10545</v>
      </c>
      <c r="H40" s="2">
        <v>126540</v>
      </c>
    </row>
    <row r="41" spans="1:8">
      <c r="A41" s="111" t="s">
        <v>68</v>
      </c>
      <c r="B41" s="111"/>
      <c r="C41" s="17" t="s">
        <v>69</v>
      </c>
      <c r="D41" s="5">
        <v>12</v>
      </c>
      <c r="E41" s="59" t="s">
        <v>29</v>
      </c>
      <c r="F41" s="60">
        <v>4</v>
      </c>
      <c r="G41" s="48">
        <v>11100</v>
      </c>
      <c r="H41" s="2">
        <v>44400</v>
      </c>
    </row>
    <row r="42" spans="1:8">
      <c r="A42" s="112" t="s">
        <v>70</v>
      </c>
      <c r="B42" s="113"/>
      <c r="C42" s="49" t="s">
        <v>71</v>
      </c>
      <c r="D42" s="5">
        <v>12</v>
      </c>
      <c r="E42" s="59" t="s">
        <v>29</v>
      </c>
      <c r="F42" s="60">
        <v>2</v>
      </c>
      <c r="G42" s="48">
        <v>12210</v>
      </c>
      <c r="H42" s="2">
        <v>24420</v>
      </c>
    </row>
    <row r="43" spans="1:8">
      <c r="A43" s="111" t="s">
        <v>72</v>
      </c>
      <c r="B43" s="111"/>
      <c r="C43" s="17" t="s">
        <v>73</v>
      </c>
      <c r="D43" s="5">
        <v>24</v>
      </c>
      <c r="E43" s="59" t="s">
        <v>29</v>
      </c>
      <c r="F43" s="60">
        <v>6</v>
      </c>
      <c r="G43" s="48">
        <v>11655</v>
      </c>
      <c r="H43" s="2">
        <v>69930</v>
      </c>
    </row>
    <row r="44" spans="1:8">
      <c r="A44" s="111" t="s">
        <v>74</v>
      </c>
      <c r="B44" s="111"/>
      <c r="C44" s="17" t="s">
        <v>75</v>
      </c>
      <c r="D44" s="5">
        <v>50</v>
      </c>
      <c r="E44" s="59" t="s">
        <v>29</v>
      </c>
      <c r="F44" s="60">
        <v>30</v>
      </c>
      <c r="G44" s="48">
        <v>22200</v>
      </c>
      <c r="H44" s="2">
        <v>666000</v>
      </c>
    </row>
    <row r="45" spans="1:8">
      <c r="A45" s="112" t="s">
        <v>76</v>
      </c>
      <c r="B45" s="113"/>
      <c r="C45" s="49" t="s">
        <v>77</v>
      </c>
      <c r="D45" s="5">
        <v>21</v>
      </c>
      <c r="E45" s="59" t="s">
        <v>29</v>
      </c>
      <c r="F45" s="60">
        <v>11</v>
      </c>
      <c r="G45" s="48">
        <v>35798</v>
      </c>
      <c r="H45" s="2">
        <v>393778</v>
      </c>
    </row>
    <row r="46" spans="1:8">
      <c r="A46" s="111" t="s">
        <v>78</v>
      </c>
      <c r="B46" s="111"/>
      <c r="C46" s="17" t="s">
        <v>79</v>
      </c>
      <c r="D46" s="5">
        <v>100</v>
      </c>
      <c r="E46" s="59" t="s">
        <v>80</v>
      </c>
      <c r="F46" s="60">
        <v>70</v>
      </c>
      <c r="G46" s="48">
        <v>46065</v>
      </c>
      <c r="H46" s="2">
        <v>3224550</v>
      </c>
    </row>
    <row r="47" spans="1:8">
      <c r="A47" s="111" t="s">
        <v>81</v>
      </c>
      <c r="B47" s="111"/>
      <c r="C47" s="49" t="s">
        <v>82</v>
      </c>
      <c r="D47" s="5">
        <v>11</v>
      </c>
      <c r="E47" s="59" t="s">
        <v>29</v>
      </c>
      <c r="F47" s="62">
        <v>5</v>
      </c>
      <c r="G47" s="48">
        <v>10545</v>
      </c>
      <c r="H47" s="2">
        <v>52725</v>
      </c>
    </row>
    <row r="48" spans="1:8">
      <c r="A48" s="111" t="s">
        <v>83</v>
      </c>
      <c r="B48" s="111"/>
      <c r="C48" s="17" t="s">
        <v>84</v>
      </c>
      <c r="D48" s="5">
        <v>100</v>
      </c>
      <c r="E48" s="59" t="s">
        <v>36</v>
      </c>
      <c r="F48" s="60">
        <v>100</v>
      </c>
      <c r="G48" s="2">
        <v>4125</v>
      </c>
      <c r="H48" s="2">
        <v>412500</v>
      </c>
    </row>
    <row r="49" spans="1:8">
      <c r="A49" s="111" t="s">
        <v>85</v>
      </c>
      <c r="B49" s="111"/>
      <c r="C49" s="17" t="s">
        <v>86</v>
      </c>
      <c r="D49" s="5">
        <v>160</v>
      </c>
      <c r="E49" s="59" t="s">
        <v>36</v>
      </c>
      <c r="F49" s="60">
        <v>160</v>
      </c>
      <c r="G49" s="61">
        <v>85000</v>
      </c>
      <c r="H49" s="2">
        <v>13600000</v>
      </c>
    </row>
    <row r="50" spans="1:8">
      <c r="A50" s="111" t="s">
        <v>87</v>
      </c>
      <c r="B50" s="111"/>
      <c r="C50" s="17" t="s">
        <v>88</v>
      </c>
      <c r="D50" s="5">
        <v>25</v>
      </c>
      <c r="E50" s="59" t="s">
        <v>36</v>
      </c>
      <c r="F50" s="60">
        <v>500</v>
      </c>
      <c r="G50" s="48">
        <v>23310</v>
      </c>
      <c r="H50" s="2">
        <v>11655000</v>
      </c>
    </row>
    <row r="51" spans="1:8">
      <c r="A51" s="115" t="s">
        <v>89</v>
      </c>
      <c r="B51" s="116"/>
      <c r="C51" s="50" t="s">
        <v>90</v>
      </c>
      <c r="D51" s="5">
        <v>10</v>
      </c>
      <c r="E51" s="59" t="s">
        <v>29</v>
      </c>
      <c r="F51" s="63">
        <v>2</v>
      </c>
      <c r="G51" s="48">
        <v>57720</v>
      </c>
      <c r="H51" s="2">
        <v>115440</v>
      </c>
    </row>
    <row r="52" spans="1:8">
      <c r="A52" s="111" t="s">
        <v>91</v>
      </c>
      <c r="B52" s="111"/>
      <c r="C52" s="17" t="s">
        <v>92</v>
      </c>
      <c r="D52" s="5">
        <v>10</v>
      </c>
      <c r="E52" s="59" t="s">
        <v>29</v>
      </c>
      <c r="F52" s="60">
        <v>5</v>
      </c>
      <c r="G52" s="48">
        <v>4662</v>
      </c>
      <c r="H52" s="2">
        <v>23310</v>
      </c>
    </row>
    <row r="53" spans="1:8">
      <c r="A53" s="111" t="s">
        <v>93</v>
      </c>
      <c r="B53" s="111"/>
      <c r="C53" s="17" t="s">
        <v>94</v>
      </c>
      <c r="D53" s="5">
        <v>5</v>
      </c>
      <c r="E53" s="59" t="s">
        <v>29</v>
      </c>
      <c r="F53" s="60">
        <v>3</v>
      </c>
      <c r="G53" s="48">
        <v>17594</v>
      </c>
      <c r="H53" s="2">
        <v>52782</v>
      </c>
    </row>
    <row r="54" spans="1:8">
      <c r="A54" s="111" t="s">
        <v>95</v>
      </c>
      <c r="B54" s="111"/>
      <c r="C54" s="17" t="s">
        <v>96</v>
      </c>
      <c r="D54" s="5">
        <v>14</v>
      </c>
      <c r="E54" s="59" t="s">
        <v>29</v>
      </c>
      <c r="F54" s="60">
        <v>5</v>
      </c>
      <c r="G54" s="48">
        <v>18870</v>
      </c>
      <c r="H54" s="2">
        <v>94350</v>
      </c>
    </row>
    <row r="55" spans="1:8">
      <c r="A55" s="111" t="s">
        <v>97</v>
      </c>
      <c r="B55" s="111"/>
      <c r="C55" s="17" t="s">
        <v>98</v>
      </c>
      <c r="D55" s="5">
        <v>12</v>
      </c>
      <c r="E55" s="59" t="s">
        <v>29</v>
      </c>
      <c r="F55" s="60">
        <v>4</v>
      </c>
      <c r="G55" s="48">
        <v>23310</v>
      </c>
      <c r="H55" s="2">
        <v>93240</v>
      </c>
    </row>
    <row r="56" spans="1:8">
      <c r="A56" s="111" t="s">
        <v>99</v>
      </c>
      <c r="B56" s="111"/>
      <c r="C56" s="17" t="s">
        <v>100</v>
      </c>
      <c r="D56" s="5">
        <v>50</v>
      </c>
      <c r="E56" s="59" t="s">
        <v>80</v>
      </c>
      <c r="F56" s="60">
        <v>50</v>
      </c>
      <c r="G56" s="65">
        <v>50505</v>
      </c>
      <c r="H56" s="2">
        <v>2525250</v>
      </c>
    </row>
    <row r="57" spans="1:8">
      <c r="A57" s="117" t="s">
        <v>25</v>
      </c>
      <c r="B57" s="117"/>
      <c r="C57" s="117"/>
      <c r="D57" s="117"/>
      <c r="E57" s="117"/>
      <c r="F57" s="64">
        <v>1168</v>
      </c>
      <c r="G57" s="3">
        <v>892213</v>
      </c>
      <c r="H57" s="3">
        <v>37730686</v>
      </c>
    </row>
    <row r="58" spans="1:8">
      <c r="A58" s="109" t="s">
        <v>101</v>
      </c>
      <c r="B58" s="109"/>
      <c r="C58" s="109"/>
      <c r="D58" s="109"/>
      <c r="E58" s="109"/>
      <c r="F58" s="110"/>
      <c r="G58" s="109"/>
      <c r="H58" s="109"/>
    </row>
    <row r="59" spans="1:8">
      <c r="A59" s="111" t="s">
        <v>102</v>
      </c>
      <c r="B59" s="111"/>
      <c r="C59" s="17" t="s">
        <v>103</v>
      </c>
      <c r="D59" s="5">
        <v>10</v>
      </c>
      <c r="E59" s="59" t="s">
        <v>36</v>
      </c>
      <c r="F59" s="62">
        <v>3</v>
      </c>
      <c r="G59" s="65">
        <v>23255</v>
      </c>
      <c r="H59" s="2">
        <v>69765</v>
      </c>
    </row>
    <row r="60" spans="1:8">
      <c r="A60" s="111" t="s">
        <v>104</v>
      </c>
      <c r="B60" s="111"/>
      <c r="C60" s="17" t="s">
        <v>105</v>
      </c>
      <c r="D60" s="5">
        <v>11</v>
      </c>
      <c r="E60" s="59" t="s">
        <v>36</v>
      </c>
      <c r="F60" s="62">
        <v>4</v>
      </c>
      <c r="G60" s="65">
        <v>25086</v>
      </c>
      <c r="H60" s="2">
        <v>100344</v>
      </c>
    </row>
    <row r="61" spans="1:8">
      <c r="A61" s="111" t="s">
        <v>106</v>
      </c>
      <c r="B61" s="111"/>
      <c r="C61" s="17" t="s">
        <v>107</v>
      </c>
      <c r="D61" s="5">
        <v>10</v>
      </c>
      <c r="E61" s="59" t="s">
        <v>36</v>
      </c>
      <c r="F61" s="60">
        <v>4</v>
      </c>
      <c r="G61" s="65">
        <v>24032</v>
      </c>
      <c r="H61" s="2">
        <v>96128</v>
      </c>
    </row>
    <row r="62" spans="1:8">
      <c r="A62" s="119" t="s">
        <v>108</v>
      </c>
      <c r="B62" s="119"/>
      <c r="C62" s="17" t="s">
        <v>109</v>
      </c>
      <c r="D62" s="5">
        <v>5</v>
      </c>
      <c r="E62" s="59" t="s">
        <v>110</v>
      </c>
      <c r="F62" s="60">
        <v>5</v>
      </c>
      <c r="G62" s="66">
        <v>124459</v>
      </c>
      <c r="H62" s="2">
        <v>622295</v>
      </c>
    </row>
    <row r="63" spans="1:8">
      <c r="A63" s="112" t="s">
        <v>111</v>
      </c>
      <c r="B63" s="113"/>
      <c r="C63" s="17" t="s">
        <v>112</v>
      </c>
      <c r="D63" s="5">
        <v>10</v>
      </c>
      <c r="E63" s="59" t="s">
        <v>110</v>
      </c>
      <c r="F63" s="60">
        <v>4</v>
      </c>
      <c r="G63" s="65">
        <v>73538</v>
      </c>
      <c r="H63" s="2">
        <v>294152</v>
      </c>
    </row>
    <row r="64" spans="1:8">
      <c r="A64" s="111" t="s">
        <v>113</v>
      </c>
      <c r="B64" s="111"/>
      <c r="C64" s="17" t="s">
        <v>114</v>
      </c>
      <c r="D64" s="5">
        <v>453</v>
      </c>
      <c r="E64" s="59" t="s">
        <v>110</v>
      </c>
      <c r="F64" s="60">
        <v>50</v>
      </c>
      <c r="G64" s="66">
        <v>70000</v>
      </c>
      <c r="H64" s="2">
        <v>3500000</v>
      </c>
    </row>
    <row r="65" spans="1:8">
      <c r="A65" s="117" t="s">
        <v>25</v>
      </c>
      <c r="B65" s="117"/>
      <c r="C65" s="117"/>
      <c r="D65" s="117"/>
      <c r="E65" s="117"/>
      <c r="F65" s="64">
        <v>70</v>
      </c>
      <c r="G65" s="3">
        <v>340370</v>
      </c>
      <c r="H65" s="3">
        <v>4682684</v>
      </c>
    </row>
    <row r="66" spans="1:8">
      <c r="A66" s="118" t="s">
        <v>115</v>
      </c>
      <c r="B66" s="118"/>
      <c r="C66" s="118"/>
      <c r="D66" s="118"/>
      <c r="E66" s="118"/>
      <c r="F66" s="118"/>
      <c r="G66" s="118"/>
      <c r="H66" s="118"/>
    </row>
    <row r="67" spans="1:8">
      <c r="A67" s="120" t="s">
        <v>116</v>
      </c>
      <c r="B67" s="120"/>
      <c r="C67" s="35" t="s">
        <v>117</v>
      </c>
      <c r="D67" s="36">
        <v>11</v>
      </c>
      <c r="E67" s="37" t="s">
        <v>39</v>
      </c>
      <c r="F67" s="53">
        <v>9</v>
      </c>
      <c r="G67" s="38">
        <v>191250</v>
      </c>
      <c r="H67" s="38">
        <v>1721250</v>
      </c>
    </row>
    <row r="68" spans="1:8">
      <c r="A68" s="103" t="s">
        <v>118</v>
      </c>
      <c r="B68" s="103"/>
      <c r="C68" s="35" t="s">
        <v>119</v>
      </c>
      <c r="D68" s="36">
        <v>11</v>
      </c>
      <c r="E68" s="37" t="s">
        <v>29</v>
      </c>
      <c r="F68" s="53">
        <v>9</v>
      </c>
      <c r="G68" s="38">
        <v>188750</v>
      </c>
      <c r="H68" s="38">
        <v>1698750</v>
      </c>
    </row>
    <row r="69" spans="1:8">
      <c r="A69" s="104" t="s">
        <v>120</v>
      </c>
      <c r="B69" s="105"/>
      <c r="C69" s="35" t="s">
        <v>121</v>
      </c>
      <c r="D69" s="36"/>
      <c r="E69" s="37" t="s">
        <v>29</v>
      </c>
      <c r="F69" s="36">
        <v>900</v>
      </c>
      <c r="G69" s="38">
        <v>177000.6</v>
      </c>
      <c r="H69" s="38">
        <v>159300540</v>
      </c>
    </row>
    <row r="70" spans="1:8">
      <c r="A70" s="117" t="s">
        <v>25</v>
      </c>
      <c r="B70" s="117"/>
      <c r="C70" s="117"/>
      <c r="D70" s="117"/>
      <c r="E70" s="117"/>
      <c r="F70" s="39">
        <v>918</v>
      </c>
      <c r="G70" s="3">
        <v>557000.6</v>
      </c>
      <c r="H70" s="3">
        <v>162720540</v>
      </c>
    </row>
    <row r="71" spans="1:8">
      <c r="A71" s="122" t="s">
        <v>122</v>
      </c>
      <c r="B71" s="122"/>
      <c r="C71" s="122"/>
      <c r="D71" s="122"/>
      <c r="E71" s="122"/>
      <c r="F71" s="122"/>
      <c r="G71" s="122"/>
      <c r="H71" s="122"/>
    </row>
    <row r="72" spans="1:8">
      <c r="A72" s="117" t="s">
        <v>25</v>
      </c>
      <c r="B72" s="117"/>
      <c r="C72" s="117"/>
      <c r="D72" s="117"/>
      <c r="E72" s="117"/>
      <c r="F72" s="40">
        <v>2976</v>
      </c>
      <c r="G72" s="3">
        <v>1824883.6</v>
      </c>
      <c r="H72" s="3">
        <v>209639910</v>
      </c>
    </row>
    <row r="73" spans="1:8">
      <c r="A73" s="46"/>
      <c r="B73" s="46"/>
      <c r="C73" s="30"/>
      <c r="D73" s="30"/>
      <c r="E73" s="32"/>
      <c r="F73" s="21"/>
      <c r="G73" s="31"/>
      <c r="H73" s="31"/>
    </row>
    <row r="74" spans="1:8">
      <c r="A74" s="99" t="s">
        <v>123</v>
      </c>
      <c r="B74" s="99"/>
      <c r="C74" s="99"/>
      <c r="D74" s="99"/>
      <c r="E74" s="99"/>
      <c r="F74" s="99"/>
      <c r="G74" s="99"/>
      <c r="H74" s="99"/>
    </row>
    <row r="75" spans="1:8">
      <c r="A75" s="15"/>
      <c r="B75" s="15"/>
      <c r="C75" s="16"/>
      <c r="D75" s="21"/>
      <c r="E75" s="16"/>
      <c r="F75" s="16"/>
      <c r="G75" s="15"/>
      <c r="H75" s="15"/>
    </row>
    <row r="76" spans="1:8">
      <c r="A76" s="33"/>
      <c r="B76" s="33"/>
      <c r="C76" s="23"/>
      <c r="D76" s="30"/>
      <c r="E76" s="121" t="s">
        <v>141</v>
      </c>
      <c r="F76" s="121"/>
      <c r="G76" s="121"/>
      <c r="H76" s="121"/>
    </row>
    <row r="77" spans="1:8">
      <c r="A77" s="121" t="s">
        <v>163</v>
      </c>
      <c r="B77" s="121"/>
      <c r="C77" s="121"/>
      <c r="D77" s="30"/>
      <c r="E77" s="121" t="s">
        <v>126</v>
      </c>
      <c r="F77" s="121"/>
      <c r="G77" s="121"/>
      <c r="H77" s="121"/>
    </row>
    <row r="78" spans="1:8">
      <c r="A78" s="18"/>
      <c r="B78" s="18"/>
      <c r="C78" s="22"/>
      <c r="D78" s="30"/>
      <c r="E78" s="34"/>
      <c r="F78" s="14"/>
      <c r="G78" s="4"/>
      <c r="H78" s="4"/>
    </row>
    <row r="79" spans="1:8">
      <c r="A79" s="18"/>
      <c r="B79" s="18"/>
      <c r="C79" s="22"/>
      <c r="D79" s="30"/>
      <c r="E79" s="34"/>
      <c r="F79" s="14"/>
      <c r="G79" s="4"/>
      <c r="H79" s="4"/>
    </row>
    <row r="80" spans="1:8">
      <c r="A80" s="18"/>
      <c r="B80" s="18"/>
      <c r="C80" s="22"/>
      <c r="D80" s="30"/>
      <c r="E80" s="34"/>
      <c r="F80" s="14"/>
      <c r="G80" s="4"/>
      <c r="H80" s="4"/>
    </row>
    <row r="81" spans="1:11">
      <c r="A81" s="123" t="s">
        <v>165</v>
      </c>
      <c r="B81" s="123"/>
      <c r="C81" s="123"/>
      <c r="D81" s="30"/>
      <c r="E81" s="123" t="s">
        <v>128</v>
      </c>
      <c r="F81" s="123"/>
      <c r="G81" s="123"/>
      <c r="H81" s="123"/>
    </row>
    <row r="82" spans="1:11">
      <c r="A82" s="121" t="s">
        <v>164</v>
      </c>
      <c r="B82" s="121"/>
      <c r="C82" s="121"/>
      <c r="D82" s="30"/>
      <c r="E82" s="121" t="s">
        <v>130</v>
      </c>
      <c r="F82" s="121"/>
      <c r="G82" s="121"/>
      <c r="H82" s="121"/>
    </row>
    <row r="83" spans="1:11">
      <c r="A83" s="33"/>
      <c r="B83" s="33"/>
      <c r="C83" s="23"/>
      <c r="D83" s="30"/>
      <c r="E83" s="34"/>
      <c r="F83" s="14"/>
      <c r="G83" s="4"/>
      <c r="H83" s="33"/>
    </row>
    <row r="84" spans="1:11">
      <c r="A84" s="121" t="s">
        <v>131</v>
      </c>
      <c r="B84" s="121"/>
      <c r="C84" s="121"/>
      <c r="D84" s="121"/>
      <c r="E84" s="121"/>
      <c r="F84" s="121"/>
      <c r="G84" s="121"/>
      <c r="H84" s="121"/>
    </row>
    <row r="85" spans="1:11">
      <c r="A85" s="121" t="s">
        <v>132</v>
      </c>
      <c r="B85" s="121"/>
      <c r="C85" s="121"/>
      <c r="D85" s="121"/>
      <c r="E85" s="121"/>
      <c r="F85" s="121"/>
      <c r="G85" s="121"/>
      <c r="H85" s="121"/>
    </row>
    <row r="86" spans="1:11">
      <c r="A86" s="4"/>
      <c r="B86" s="4"/>
      <c r="C86" s="34"/>
      <c r="D86" s="30"/>
      <c r="E86" s="34"/>
      <c r="F86" s="14"/>
      <c r="G86" s="4"/>
      <c r="H86" s="4"/>
    </row>
    <row r="87" spans="1:11">
      <c r="A87" s="4"/>
      <c r="B87" s="4"/>
      <c r="C87" s="34"/>
      <c r="D87" s="30"/>
      <c r="E87" s="34"/>
      <c r="F87" s="14"/>
      <c r="G87" s="4"/>
      <c r="H87" s="4"/>
    </row>
    <row r="88" spans="1:11">
      <c r="A88" s="4"/>
      <c r="B88" s="4"/>
      <c r="C88" s="34"/>
      <c r="D88" s="30"/>
      <c r="E88" s="34"/>
      <c r="F88" s="14"/>
      <c r="G88" s="4"/>
      <c r="H88" s="4"/>
    </row>
    <row r="89" spans="1:11">
      <c r="A89" s="33"/>
      <c r="B89" s="33"/>
      <c r="C89" s="23"/>
      <c r="D89" s="30"/>
      <c r="E89" s="34"/>
      <c r="F89" s="13"/>
      <c r="G89" s="33"/>
      <c r="H89" s="33"/>
    </row>
    <row r="90" spans="1:11">
      <c r="A90" s="123" t="s">
        <v>166</v>
      </c>
      <c r="B90" s="123"/>
      <c r="C90" s="123"/>
      <c r="D90" s="123"/>
      <c r="E90" s="123"/>
      <c r="F90" s="123"/>
      <c r="G90" s="123"/>
      <c r="H90" s="123"/>
    </row>
    <row r="91" spans="1:11">
      <c r="A91" s="121" t="s">
        <v>160</v>
      </c>
      <c r="B91" s="121"/>
      <c r="C91" s="121"/>
      <c r="D91" s="121"/>
      <c r="E91" s="121"/>
      <c r="F91" s="121"/>
      <c r="G91" s="121"/>
      <c r="H91" s="121"/>
      <c r="I91" s="23"/>
      <c r="J91" s="23"/>
      <c r="K91" s="23"/>
    </row>
  </sheetData>
  <mergeCells count="81">
    <mergeCell ref="A90:H90"/>
    <mergeCell ref="A91:H91"/>
    <mergeCell ref="A81:C81"/>
    <mergeCell ref="E81:H81"/>
    <mergeCell ref="A82:C82"/>
    <mergeCell ref="E82:H82"/>
    <mergeCell ref="A84:H84"/>
    <mergeCell ref="A85:H85"/>
    <mergeCell ref="A77:C77"/>
    <mergeCell ref="E77:H77"/>
    <mergeCell ref="A64:B64"/>
    <mergeCell ref="A65:E65"/>
    <mergeCell ref="A66:H66"/>
    <mergeCell ref="A67:B67"/>
    <mergeCell ref="A68:B68"/>
    <mergeCell ref="A69:B69"/>
    <mergeCell ref="A70:E70"/>
    <mergeCell ref="A71:H71"/>
    <mergeCell ref="A72:E72"/>
    <mergeCell ref="A74:H74"/>
    <mergeCell ref="E76:H76"/>
    <mergeCell ref="A63:B63"/>
    <mergeCell ref="A52:B52"/>
    <mergeCell ref="A53:B53"/>
    <mergeCell ref="A54:B54"/>
    <mergeCell ref="A55:B55"/>
    <mergeCell ref="A56:B56"/>
    <mergeCell ref="A57:E57"/>
    <mergeCell ref="A58:H58"/>
    <mergeCell ref="A59:B59"/>
    <mergeCell ref="A60:B60"/>
    <mergeCell ref="A61:B61"/>
    <mergeCell ref="A62:B62"/>
    <mergeCell ref="A51:B51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39:B39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27:B27"/>
    <mergeCell ref="A16:H16"/>
    <mergeCell ref="A17:B17"/>
    <mergeCell ref="A18:B18"/>
    <mergeCell ref="A19:B19"/>
    <mergeCell ref="A20:E20"/>
    <mergeCell ref="A21:H21"/>
    <mergeCell ref="A22:B22"/>
    <mergeCell ref="A23:B23"/>
    <mergeCell ref="A24:B24"/>
    <mergeCell ref="A25:B25"/>
    <mergeCell ref="A26:B26"/>
    <mergeCell ref="A15:B15"/>
    <mergeCell ref="A1:H1"/>
    <mergeCell ref="A2:H2"/>
    <mergeCell ref="A3:H3"/>
    <mergeCell ref="A4:H4"/>
    <mergeCell ref="A5:H5"/>
    <mergeCell ref="A8:H8"/>
    <mergeCell ref="A9:H9"/>
    <mergeCell ref="A11:H11"/>
    <mergeCell ref="A12:H12"/>
    <mergeCell ref="A13:H13"/>
    <mergeCell ref="A14:B14"/>
  </mergeCells>
  <hyperlinks>
    <hyperlink ref="A5" r:id="rId1" display="mailto:dlhbanjarmasin@gmail.com"/>
  </hyperlinks>
  <pageMargins left="0.25" right="0.25" top="0.75" bottom="0.75" header="0.3" footer="0.3"/>
  <pageSetup paperSize="10000" scale="99" orientation="portrait" horizontalDpi="0" verticalDpi="0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91"/>
  <sheetViews>
    <sheetView view="pageBreakPreview" topLeftCell="A37" zoomScaleNormal="100" zoomScaleSheetLayoutView="100" workbookViewId="0">
      <selection activeCell="A14" sqref="A14:B14"/>
    </sheetView>
  </sheetViews>
  <sheetFormatPr defaultRowHeight="14.5"/>
  <cols>
    <col min="1" max="2" width="9.453125" customWidth="1"/>
    <col min="3" max="3" width="30.6328125" customWidth="1"/>
    <col min="7" max="7" width="12" customWidth="1"/>
    <col min="8" max="8" width="15.453125" customWidth="1"/>
  </cols>
  <sheetData>
    <row r="1" spans="1:8" ht="17.5">
      <c r="A1" s="92" t="s">
        <v>0</v>
      </c>
      <c r="B1" s="92"/>
      <c r="C1" s="92"/>
      <c r="D1" s="92"/>
      <c r="E1" s="92"/>
      <c r="F1" s="92"/>
      <c r="G1" s="92"/>
      <c r="H1" s="92"/>
    </row>
    <row r="2" spans="1:8" ht="22">
      <c r="A2" s="93" t="s">
        <v>1</v>
      </c>
      <c r="B2" s="93"/>
      <c r="C2" s="93"/>
      <c r="D2" s="93"/>
      <c r="E2" s="93"/>
      <c r="F2" s="93"/>
      <c r="G2" s="93"/>
      <c r="H2" s="93"/>
    </row>
    <row r="3" spans="1:8">
      <c r="A3" s="94" t="s">
        <v>2</v>
      </c>
      <c r="B3" s="94"/>
      <c r="C3" s="94"/>
      <c r="D3" s="94"/>
      <c r="E3" s="94"/>
      <c r="F3" s="94"/>
      <c r="G3" s="94"/>
      <c r="H3" s="94"/>
    </row>
    <row r="4" spans="1:8">
      <c r="A4" s="94" t="s">
        <v>3</v>
      </c>
      <c r="B4" s="94"/>
      <c r="C4" s="94"/>
      <c r="D4" s="94"/>
      <c r="E4" s="94"/>
      <c r="F4" s="94"/>
      <c r="G4" s="94"/>
      <c r="H4" s="94"/>
    </row>
    <row r="5" spans="1:8">
      <c r="A5" s="95" t="s">
        <v>4</v>
      </c>
      <c r="B5" s="95"/>
      <c r="C5" s="95"/>
      <c r="D5" s="95"/>
      <c r="E5" s="95"/>
      <c r="F5" s="95"/>
      <c r="G5" s="95"/>
      <c r="H5" s="95"/>
    </row>
    <row r="6" spans="1:8" ht="15" thickBot="1">
      <c r="A6" s="7"/>
      <c r="B6" s="8"/>
      <c r="C6" s="9"/>
      <c r="D6" s="9"/>
      <c r="E6" s="9"/>
      <c r="F6" s="55"/>
      <c r="G6" s="8"/>
      <c r="H6" s="8"/>
    </row>
    <row r="7" spans="1:8" ht="15" thickTop="1">
      <c r="A7" s="10"/>
      <c r="B7" s="11"/>
      <c r="C7" s="6"/>
      <c r="D7" s="6"/>
      <c r="E7" s="6"/>
      <c r="F7" s="47"/>
      <c r="G7" s="11"/>
      <c r="H7" s="11"/>
    </row>
    <row r="8" spans="1:8">
      <c r="A8" s="96" t="s">
        <v>5</v>
      </c>
      <c r="B8" s="96"/>
      <c r="C8" s="96"/>
      <c r="D8" s="96"/>
      <c r="E8" s="96"/>
      <c r="F8" s="96"/>
      <c r="G8" s="96"/>
      <c r="H8" s="96"/>
    </row>
    <row r="9" spans="1:8">
      <c r="A9" s="97" t="s">
        <v>137</v>
      </c>
      <c r="B9" s="97"/>
      <c r="C9" s="97"/>
      <c r="D9" s="97"/>
      <c r="E9" s="97"/>
      <c r="F9" s="97"/>
      <c r="G9" s="97"/>
      <c r="H9" s="97"/>
    </row>
    <row r="10" spans="1:8">
      <c r="A10" s="12"/>
      <c r="B10" s="12"/>
      <c r="C10" s="13"/>
      <c r="D10" s="13"/>
      <c r="E10" s="14"/>
      <c r="F10" s="13"/>
      <c r="G10" s="12"/>
      <c r="H10" s="12"/>
    </row>
    <row r="11" spans="1:8">
      <c r="A11" s="98" t="s">
        <v>143</v>
      </c>
      <c r="B11" s="98"/>
      <c r="C11" s="98"/>
      <c r="D11" s="98"/>
      <c r="E11" s="98"/>
      <c r="F11" s="98"/>
      <c r="G11" s="98"/>
      <c r="H11" s="98"/>
    </row>
    <row r="12" spans="1:8">
      <c r="A12" s="99" t="s">
        <v>8</v>
      </c>
      <c r="B12" s="99"/>
      <c r="C12" s="99"/>
      <c r="D12" s="99"/>
      <c r="E12" s="99"/>
      <c r="F12" s="99"/>
      <c r="G12" s="99"/>
      <c r="H12" s="99"/>
    </row>
    <row r="13" spans="1:8">
      <c r="A13" s="100" t="s">
        <v>142</v>
      </c>
      <c r="B13" s="100"/>
      <c r="C13" s="100"/>
      <c r="D13" s="100"/>
      <c r="E13" s="100"/>
      <c r="F13" s="100"/>
      <c r="G13" s="100"/>
      <c r="H13" s="100"/>
    </row>
    <row r="14" spans="1:8" ht="34.5">
      <c r="A14" s="91" t="s">
        <v>10</v>
      </c>
      <c r="B14" s="91"/>
      <c r="C14" s="25" t="s">
        <v>11</v>
      </c>
      <c r="D14" s="19" t="s">
        <v>12</v>
      </c>
      <c r="E14" s="26" t="s">
        <v>13</v>
      </c>
      <c r="F14" s="41" t="s">
        <v>14</v>
      </c>
      <c r="G14" s="20" t="s">
        <v>15</v>
      </c>
      <c r="H14" s="20" t="s">
        <v>16</v>
      </c>
    </row>
    <row r="15" spans="1:8">
      <c r="A15" s="91">
        <v>1</v>
      </c>
      <c r="B15" s="91"/>
      <c r="C15" s="25">
        <v>2</v>
      </c>
      <c r="D15" s="25">
        <v>3</v>
      </c>
      <c r="E15" s="27">
        <v>4</v>
      </c>
      <c r="F15" s="41">
        <v>5</v>
      </c>
      <c r="G15" s="20">
        <v>6</v>
      </c>
      <c r="H15" s="20">
        <v>7</v>
      </c>
    </row>
    <row r="16" spans="1:8">
      <c r="A16" s="102" t="s">
        <v>17</v>
      </c>
      <c r="B16" s="102"/>
      <c r="C16" s="102"/>
      <c r="D16" s="102"/>
      <c r="E16" s="102"/>
      <c r="F16" s="102"/>
      <c r="G16" s="102"/>
      <c r="H16" s="102"/>
    </row>
    <row r="17" spans="1:8">
      <c r="A17" s="103" t="s">
        <v>18</v>
      </c>
      <c r="B17" s="103"/>
      <c r="C17" s="42" t="s">
        <v>19</v>
      </c>
      <c r="D17" s="45">
        <v>45</v>
      </c>
      <c r="E17" s="37" t="s">
        <v>20</v>
      </c>
      <c r="F17" s="52">
        <v>20</v>
      </c>
      <c r="G17" s="56">
        <v>25300</v>
      </c>
      <c r="H17" s="44">
        <v>506000</v>
      </c>
    </row>
    <row r="18" spans="1:8">
      <c r="A18" s="104" t="s">
        <v>21</v>
      </c>
      <c r="B18" s="105"/>
      <c r="C18" s="42" t="s">
        <v>22</v>
      </c>
      <c r="D18" s="43">
        <v>1000</v>
      </c>
      <c r="E18" s="37" t="s">
        <v>20</v>
      </c>
      <c r="F18" s="52">
        <v>500</v>
      </c>
      <c r="G18" s="56">
        <v>5000</v>
      </c>
      <c r="H18" s="44">
        <v>2500000</v>
      </c>
    </row>
    <row r="19" spans="1:8">
      <c r="A19" s="103" t="s">
        <v>23</v>
      </c>
      <c r="B19" s="103"/>
      <c r="C19" s="42" t="s">
        <v>24</v>
      </c>
      <c r="D19" s="43">
        <v>490</v>
      </c>
      <c r="E19" s="37" t="s">
        <v>20</v>
      </c>
      <c r="F19" s="52">
        <v>300</v>
      </c>
      <c r="G19" s="56">
        <v>5000</v>
      </c>
      <c r="H19" s="44">
        <v>1500000</v>
      </c>
    </row>
    <row r="20" spans="1:8">
      <c r="A20" s="106" t="s">
        <v>25</v>
      </c>
      <c r="B20" s="107"/>
      <c r="C20" s="107"/>
      <c r="D20" s="107"/>
      <c r="E20" s="108"/>
      <c r="F20" s="57">
        <v>820</v>
      </c>
      <c r="G20" s="58">
        <v>35300</v>
      </c>
      <c r="H20" s="51">
        <v>4506000</v>
      </c>
    </row>
    <row r="21" spans="1:8">
      <c r="A21" s="109" t="s">
        <v>26</v>
      </c>
      <c r="B21" s="109"/>
      <c r="C21" s="109"/>
      <c r="D21" s="109"/>
      <c r="E21" s="109"/>
      <c r="F21" s="110"/>
      <c r="G21" s="109"/>
      <c r="H21" s="109"/>
    </row>
    <row r="22" spans="1:8">
      <c r="A22" s="111" t="s">
        <v>27</v>
      </c>
      <c r="B22" s="111"/>
      <c r="C22" s="17" t="s">
        <v>28</v>
      </c>
      <c r="D22" s="5">
        <v>5</v>
      </c>
      <c r="E22" s="59" t="s">
        <v>29</v>
      </c>
      <c r="F22" s="60">
        <v>4</v>
      </c>
      <c r="G22" s="48">
        <v>31635</v>
      </c>
      <c r="H22" s="2">
        <v>126540</v>
      </c>
    </row>
    <row r="23" spans="1:8">
      <c r="A23" s="111" t="s">
        <v>30</v>
      </c>
      <c r="B23" s="111"/>
      <c r="C23" s="17" t="s">
        <v>31</v>
      </c>
      <c r="D23" s="5">
        <v>10</v>
      </c>
      <c r="E23" s="59" t="s">
        <v>29</v>
      </c>
      <c r="F23" s="60">
        <v>6</v>
      </c>
      <c r="G23" s="48">
        <v>22755</v>
      </c>
      <c r="H23" s="2">
        <v>136530</v>
      </c>
    </row>
    <row r="24" spans="1:8">
      <c r="A24" s="111" t="s">
        <v>32</v>
      </c>
      <c r="B24" s="111"/>
      <c r="C24" s="17" t="s">
        <v>33</v>
      </c>
      <c r="D24" s="5">
        <v>10</v>
      </c>
      <c r="E24" s="59" t="s">
        <v>29</v>
      </c>
      <c r="F24" s="60">
        <v>10</v>
      </c>
      <c r="G24" s="48">
        <v>42735</v>
      </c>
      <c r="H24" s="2">
        <v>427350</v>
      </c>
    </row>
    <row r="25" spans="1:8">
      <c r="A25" s="111" t="s">
        <v>34</v>
      </c>
      <c r="B25" s="111"/>
      <c r="C25" s="17" t="s">
        <v>35</v>
      </c>
      <c r="D25" s="5">
        <v>51</v>
      </c>
      <c r="E25" s="59" t="s">
        <v>36</v>
      </c>
      <c r="F25" s="60">
        <v>20</v>
      </c>
      <c r="G25" s="48">
        <v>4662</v>
      </c>
      <c r="H25" s="2">
        <v>93240</v>
      </c>
    </row>
    <row r="26" spans="1:8">
      <c r="A26" s="111" t="s">
        <v>37</v>
      </c>
      <c r="B26" s="111"/>
      <c r="C26" s="17" t="s">
        <v>38</v>
      </c>
      <c r="D26" s="5">
        <v>10</v>
      </c>
      <c r="E26" s="59" t="s">
        <v>39</v>
      </c>
      <c r="F26" s="60">
        <v>3</v>
      </c>
      <c r="G26" s="48">
        <v>22200</v>
      </c>
      <c r="H26" s="2">
        <v>66600</v>
      </c>
    </row>
    <row r="27" spans="1:8">
      <c r="A27" s="101" t="s">
        <v>40</v>
      </c>
      <c r="B27" s="101"/>
      <c r="C27" s="17" t="s">
        <v>41</v>
      </c>
      <c r="D27" s="5">
        <v>5</v>
      </c>
      <c r="E27" s="59" t="s">
        <v>39</v>
      </c>
      <c r="F27" s="60">
        <v>1</v>
      </c>
      <c r="G27" s="48">
        <v>115440</v>
      </c>
      <c r="H27" s="2">
        <v>115440</v>
      </c>
    </row>
    <row r="28" spans="1:8">
      <c r="A28" s="111" t="s">
        <v>42</v>
      </c>
      <c r="B28" s="111"/>
      <c r="C28" s="17" t="s">
        <v>43</v>
      </c>
      <c r="D28" s="5">
        <v>50</v>
      </c>
      <c r="E28" s="59" t="s">
        <v>29</v>
      </c>
      <c r="F28" s="60">
        <v>9</v>
      </c>
      <c r="G28" s="48">
        <v>29970</v>
      </c>
      <c r="H28" s="2">
        <v>269730</v>
      </c>
    </row>
    <row r="29" spans="1:8">
      <c r="A29" s="111" t="s">
        <v>44</v>
      </c>
      <c r="B29" s="111"/>
      <c r="C29" s="17" t="s">
        <v>45</v>
      </c>
      <c r="D29" s="5">
        <v>25</v>
      </c>
      <c r="E29" s="59" t="s">
        <v>29</v>
      </c>
      <c r="F29" s="60">
        <v>11</v>
      </c>
      <c r="G29" s="48">
        <v>5883</v>
      </c>
      <c r="H29" s="2">
        <v>64713</v>
      </c>
    </row>
    <row r="30" spans="1:8">
      <c r="A30" s="111" t="s">
        <v>46</v>
      </c>
      <c r="B30" s="111"/>
      <c r="C30" s="17" t="s">
        <v>47</v>
      </c>
      <c r="D30" s="5">
        <v>51</v>
      </c>
      <c r="E30" s="59" t="s">
        <v>36</v>
      </c>
      <c r="F30" s="60">
        <v>8</v>
      </c>
      <c r="G30" s="48">
        <v>5717</v>
      </c>
      <c r="H30" s="2">
        <v>45736</v>
      </c>
    </row>
    <row r="31" spans="1:8">
      <c r="A31" s="111" t="s">
        <v>48</v>
      </c>
      <c r="B31" s="111"/>
      <c r="C31" s="17" t="s">
        <v>49</v>
      </c>
      <c r="D31" s="5">
        <v>50</v>
      </c>
      <c r="E31" s="59" t="s">
        <v>29</v>
      </c>
      <c r="F31" s="60">
        <v>48</v>
      </c>
      <c r="G31" s="48">
        <v>46898</v>
      </c>
      <c r="H31" s="2">
        <v>2251104</v>
      </c>
    </row>
    <row r="32" spans="1:8">
      <c r="A32" s="111" t="s">
        <v>50</v>
      </c>
      <c r="B32" s="111"/>
      <c r="C32" s="17" t="s">
        <v>51</v>
      </c>
      <c r="D32" s="5">
        <v>50</v>
      </c>
      <c r="E32" s="59" t="s">
        <v>36</v>
      </c>
      <c r="F32" s="60">
        <v>38</v>
      </c>
      <c r="G32" s="48">
        <v>11100</v>
      </c>
      <c r="H32" s="2">
        <v>421800</v>
      </c>
    </row>
    <row r="33" spans="1:8">
      <c r="A33" s="111" t="s">
        <v>52</v>
      </c>
      <c r="B33" s="111"/>
      <c r="C33" s="17" t="s">
        <v>53</v>
      </c>
      <c r="D33" s="5">
        <v>10</v>
      </c>
      <c r="E33" s="59" t="s">
        <v>29</v>
      </c>
      <c r="F33" s="60">
        <v>8</v>
      </c>
      <c r="G33" s="48">
        <v>23310</v>
      </c>
      <c r="H33" s="2">
        <v>186480</v>
      </c>
    </row>
    <row r="34" spans="1:8">
      <c r="A34" s="111" t="s">
        <v>54</v>
      </c>
      <c r="B34" s="111"/>
      <c r="C34" s="17" t="s">
        <v>55</v>
      </c>
      <c r="D34" s="5">
        <v>3</v>
      </c>
      <c r="E34" s="59" t="s">
        <v>29</v>
      </c>
      <c r="F34" s="60">
        <v>3</v>
      </c>
      <c r="G34" s="48">
        <v>13320</v>
      </c>
      <c r="H34" s="2">
        <v>39960</v>
      </c>
    </row>
    <row r="35" spans="1:8">
      <c r="A35" s="111" t="s">
        <v>56</v>
      </c>
      <c r="B35" s="111"/>
      <c r="C35" s="17" t="s">
        <v>57</v>
      </c>
      <c r="D35" s="5">
        <v>25</v>
      </c>
      <c r="E35" s="59" t="s">
        <v>36</v>
      </c>
      <c r="F35" s="60">
        <v>3</v>
      </c>
      <c r="G35" s="48">
        <v>28860</v>
      </c>
      <c r="H35" s="2">
        <v>86580</v>
      </c>
    </row>
    <row r="36" spans="1:8">
      <c r="A36" s="111" t="s">
        <v>58</v>
      </c>
      <c r="B36" s="111"/>
      <c r="C36" s="17" t="s">
        <v>59</v>
      </c>
      <c r="D36" s="5">
        <v>25</v>
      </c>
      <c r="E36" s="59" t="s">
        <v>36</v>
      </c>
      <c r="F36" s="60">
        <v>5</v>
      </c>
      <c r="G36" s="48">
        <v>19148</v>
      </c>
      <c r="H36" s="2">
        <v>95740</v>
      </c>
    </row>
    <row r="37" spans="1:8">
      <c r="A37" s="111" t="s">
        <v>60</v>
      </c>
      <c r="B37" s="111"/>
      <c r="C37" s="17" t="s">
        <v>61</v>
      </c>
      <c r="D37" s="5">
        <v>59</v>
      </c>
      <c r="E37" s="59" t="s">
        <v>36</v>
      </c>
      <c r="F37" s="60">
        <v>18</v>
      </c>
      <c r="G37" s="48">
        <v>4662</v>
      </c>
      <c r="H37" s="2">
        <v>83916</v>
      </c>
    </row>
    <row r="38" spans="1:8">
      <c r="A38" s="111" t="s">
        <v>62</v>
      </c>
      <c r="B38" s="111"/>
      <c r="C38" s="17" t="s">
        <v>63</v>
      </c>
      <c r="D38" s="5">
        <v>24</v>
      </c>
      <c r="E38" s="59" t="s">
        <v>36</v>
      </c>
      <c r="F38" s="60">
        <v>1</v>
      </c>
      <c r="G38" s="48">
        <v>5550</v>
      </c>
      <c r="H38" s="2">
        <v>5550</v>
      </c>
    </row>
    <row r="39" spans="1:8">
      <c r="A39" s="114" t="s">
        <v>64</v>
      </c>
      <c r="B39" s="114"/>
      <c r="C39" s="54" t="s">
        <v>65</v>
      </c>
      <c r="D39" s="5">
        <v>25</v>
      </c>
      <c r="E39" s="59" t="s">
        <v>36</v>
      </c>
      <c r="F39" s="62">
        <v>3</v>
      </c>
      <c r="G39" s="48">
        <v>13154</v>
      </c>
      <c r="H39" s="2">
        <v>39462</v>
      </c>
    </row>
    <row r="40" spans="1:8">
      <c r="A40" s="115" t="s">
        <v>66</v>
      </c>
      <c r="B40" s="116"/>
      <c r="C40" s="50" t="s">
        <v>67</v>
      </c>
      <c r="D40" s="5">
        <v>26</v>
      </c>
      <c r="E40" s="59" t="s">
        <v>36</v>
      </c>
      <c r="F40" s="62">
        <v>12</v>
      </c>
      <c r="G40" s="48">
        <v>10545</v>
      </c>
      <c r="H40" s="2">
        <v>126540</v>
      </c>
    </row>
    <row r="41" spans="1:8">
      <c r="A41" s="111" t="s">
        <v>68</v>
      </c>
      <c r="B41" s="111"/>
      <c r="C41" s="17" t="s">
        <v>69</v>
      </c>
      <c r="D41" s="5">
        <v>12</v>
      </c>
      <c r="E41" s="59" t="s">
        <v>29</v>
      </c>
      <c r="F41" s="60">
        <v>4</v>
      </c>
      <c r="G41" s="48">
        <v>11100</v>
      </c>
      <c r="H41" s="2">
        <v>44400</v>
      </c>
    </row>
    <row r="42" spans="1:8">
      <c r="A42" s="112" t="s">
        <v>70</v>
      </c>
      <c r="B42" s="113"/>
      <c r="C42" s="49" t="s">
        <v>71</v>
      </c>
      <c r="D42" s="5">
        <v>12</v>
      </c>
      <c r="E42" s="59" t="s">
        <v>29</v>
      </c>
      <c r="F42" s="60">
        <v>2</v>
      </c>
      <c r="G42" s="48">
        <v>12210</v>
      </c>
      <c r="H42" s="2">
        <v>24420</v>
      </c>
    </row>
    <row r="43" spans="1:8">
      <c r="A43" s="111" t="s">
        <v>72</v>
      </c>
      <c r="B43" s="111"/>
      <c r="C43" s="17" t="s">
        <v>73</v>
      </c>
      <c r="D43" s="5">
        <v>24</v>
      </c>
      <c r="E43" s="59" t="s">
        <v>29</v>
      </c>
      <c r="F43" s="60">
        <v>6</v>
      </c>
      <c r="G43" s="48">
        <v>11655</v>
      </c>
      <c r="H43" s="2">
        <v>69930</v>
      </c>
    </row>
    <row r="44" spans="1:8">
      <c r="A44" s="111" t="s">
        <v>74</v>
      </c>
      <c r="B44" s="111"/>
      <c r="C44" s="17" t="s">
        <v>75</v>
      </c>
      <c r="D44" s="5">
        <v>50</v>
      </c>
      <c r="E44" s="59" t="s">
        <v>29</v>
      </c>
      <c r="F44" s="60">
        <v>30</v>
      </c>
      <c r="G44" s="48">
        <v>22200</v>
      </c>
      <c r="H44" s="2">
        <v>666000</v>
      </c>
    </row>
    <row r="45" spans="1:8">
      <c r="A45" s="112" t="s">
        <v>76</v>
      </c>
      <c r="B45" s="113"/>
      <c r="C45" s="49" t="s">
        <v>77</v>
      </c>
      <c r="D45" s="5">
        <v>21</v>
      </c>
      <c r="E45" s="59" t="s">
        <v>29</v>
      </c>
      <c r="F45" s="60">
        <v>11</v>
      </c>
      <c r="G45" s="48">
        <v>35798</v>
      </c>
      <c r="H45" s="2">
        <v>393778</v>
      </c>
    </row>
    <row r="46" spans="1:8">
      <c r="A46" s="111" t="s">
        <v>78</v>
      </c>
      <c r="B46" s="111"/>
      <c r="C46" s="17" t="s">
        <v>79</v>
      </c>
      <c r="D46" s="5">
        <v>100</v>
      </c>
      <c r="E46" s="59" t="s">
        <v>80</v>
      </c>
      <c r="F46" s="60">
        <v>70</v>
      </c>
      <c r="G46" s="48">
        <v>46065</v>
      </c>
      <c r="H46" s="2">
        <v>3224550</v>
      </c>
    </row>
    <row r="47" spans="1:8">
      <c r="A47" s="111" t="s">
        <v>81</v>
      </c>
      <c r="B47" s="111"/>
      <c r="C47" s="49" t="s">
        <v>82</v>
      </c>
      <c r="D47" s="5">
        <v>11</v>
      </c>
      <c r="E47" s="59" t="s">
        <v>29</v>
      </c>
      <c r="F47" s="62">
        <v>5</v>
      </c>
      <c r="G47" s="48">
        <v>10545</v>
      </c>
      <c r="H47" s="2">
        <v>52725</v>
      </c>
    </row>
    <row r="48" spans="1:8">
      <c r="A48" s="111" t="s">
        <v>83</v>
      </c>
      <c r="B48" s="111"/>
      <c r="C48" s="17" t="s">
        <v>84</v>
      </c>
      <c r="D48" s="5">
        <v>100</v>
      </c>
      <c r="E48" s="59" t="s">
        <v>36</v>
      </c>
      <c r="F48" s="60">
        <v>100</v>
      </c>
      <c r="G48" s="2">
        <v>4125</v>
      </c>
      <c r="H48" s="2">
        <v>412500</v>
      </c>
    </row>
    <row r="49" spans="1:8">
      <c r="A49" s="111" t="s">
        <v>85</v>
      </c>
      <c r="B49" s="111"/>
      <c r="C49" s="17" t="s">
        <v>86</v>
      </c>
      <c r="D49" s="5">
        <v>160</v>
      </c>
      <c r="E49" s="59" t="s">
        <v>36</v>
      </c>
      <c r="F49" s="60">
        <v>160</v>
      </c>
      <c r="G49" s="61">
        <v>85000</v>
      </c>
      <c r="H49" s="2">
        <v>13600000</v>
      </c>
    </row>
    <row r="50" spans="1:8">
      <c r="A50" s="111" t="s">
        <v>87</v>
      </c>
      <c r="B50" s="111"/>
      <c r="C50" s="17" t="s">
        <v>88</v>
      </c>
      <c r="D50" s="5">
        <v>25</v>
      </c>
      <c r="E50" s="59" t="s">
        <v>36</v>
      </c>
      <c r="F50" s="60">
        <v>500</v>
      </c>
      <c r="G50" s="48">
        <v>23310</v>
      </c>
      <c r="H50" s="2">
        <v>11655000</v>
      </c>
    </row>
    <row r="51" spans="1:8">
      <c r="A51" s="115" t="s">
        <v>89</v>
      </c>
      <c r="B51" s="116"/>
      <c r="C51" s="50" t="s">
        <v>90</v>
      </c>
      <c r="D51" s="5">
        <v>10</v>
      </c>
      <c r="E51" s="59" t="s">
        <v>29</v>
      </c>
      <c r="F51" s="63">
        <v>2</v>
      </c>
      <c r="G51" s="48">
        <v>57720</v>
      </c>
      <c r="H51" s="2">
        <v>115440</v>
      </c>
    </row>
    <row r="52" spans="1:8">
      <c r="A52" s="111" t="s">
        <v>91</v>
      </c>
      <c r="B52" s="111"/>
      <c r="C52" s="17" t="s">
        <v>92</v>
      </c>
      <c r="D52" s="5">
        <v>10</v>
      </c>
      <c r="E52" s="59" t="s">
        <v>29</v>
      </c>
      <c r="F52" s="60">
        <v>5</v>
      </c>
      <c r="G52" s="48">
        <v>4662</v>
      </c>
      <c r="H52" s="2">
        <v>23310</v>
      </c>
    </row>
    <row r="53" spans="1:8">
      <c r="A53" s="111" t="s">
        <v>93</v>
      </c>
      <c r="B53" s="111"/>
      <c r="C53" s="17" t="s">
        <v>94</v>
      </c>
      <c r="D53" s="5">
        <v>5</v>
      </c>
      <c r="E53" s="59" t="s">
        <v>29</v>
      </c>
      <c r="F53" s="60">
        <v>3</v>
      </c>
      <c r="G53" s="48">
        <v>17594</v>
      </c>
      <c r="H53" s="2">
        <v>52782</v>
      </c>
    </row>
    <row r="54" spans="1:8">
      <c r="A54" s="111" t="s">
        <v>95</v>
      </c>
      <c r="B54" s="111"/>
      <c r="C54" s="17" t="s">
        <v>96</v>
      </c>
      <c r="D54" s="5">
        <v>14</v>
      </c>
      <c r="E54" s="59" t="s">
        <v>29</v>
      </c>
      <c r="F54" s="60">
        <v>5</v>
      </c>
      <c r="G54" s="48">
        <v>18870</v>
      </c>
      <c r="H54" s="2">
        <v>94350</v>
      </c>
    </row>
    <row r="55" spans="1:8">
      <c r="A55" s="111" t="s">
        <v>97</v>
      </c>
      <c r="B55" s="111"/>
      <c r="C55" s="17" t="s">
        <v>98</v>
      </c>
      <c r="D55" s="5">
        <v>12</v>
      </c>
      <c r="E55" s="59" t="s">
        <v>29</v>
      </c>
      <c r="F55" s="60">
        <v>4</v>
      </c>
      <c r="G55" s="48">
        <v>23310</v>
      </c>
      <c r="H55" s="2">
        <v>93240</v>
      </c>
    </row>
    <row r="56" spans="1:8">
      <c r="A56" s="111" t="s">
        <v>99</v>
      </c>
      <c r="B56" s="111"/>
      <c r="C56" s="17" t="s">
        <v>100</v>
      </c>
      <c r="D56" s="5">
        <v>50</v>
      </c>
      <c r="E56" s="59" t="s">
        <v>80</v>
      </c>
      <c r="F56" s="60">
        <v>50</v>
      </c>
      <c r="G56" s="65">
        <v>50505</v>
      </c>
      <c r="H56" s="2">
        <v>2525250</v>
      </c>
    </row>
    <row r="57" spans="1:8">
      <c r="A57" s="117" t="s">
        <v>25</v>
      </c>
      <c r="B57" s="117"/>
      <c r="C57" s="117"/>
      <c r="D57" s="117"/>
      <c r="E57" s="117"/>
      <c r="F57" s="64">
        <v>1168</v>
      </c>
      <c r="G57" s="3">
        <v>892213</v>
      </c>
      <c r="H57" s="3">
        <v>37730686</v>
      </c>
    </row>
    <row r="58" spans="1:8">
      <c r="A58" s="109" t="s">
        <v>101</v>
      </c>
      <c r="B58" s="109"/>
      <c r="C58" s="109"/>
      <c r="D58" s="109"/>
      <c r="E58" s="109"/>
      <c r="F58" s="110"/>
      <c r="G58" s="109"/>
      <c r="H58" s="109"/>
    </row>
    <row r="59" spans="1:8">
      <c r="A59" s="111" t="s">
        <v>102</v>
      </c>
      <c r="B59" s="111"/>
      <c r="C59" s="17" t="s">
        <v>103</v>
      </c>
      <c r="D59" s="5">
        <v>10</v>
      </c>
      <c r="E59" s="59" t="s">
        <v>36</v>
      </c>
      <c r="F59" s="62">
        <v>3</v>
      </c>
      <c r="G59" s="65">
        <v>23255</v>
      </c>
      <c r="H59" s="2">
        <v>69765</v>
      </c>
    </row>
    <row r="60" spans="1:8">
      <c r="A60" s="111" t="s">
        <v>104</v>
      </c>
      <c r="B60" s="111"/>
      <c r="C60" s="17" t="s">
        <v>105</v>
      </c>
      <c r="D60" s="5">
        <v>11</v>
      </c>
      <c r="E60" s="59" t="s">
        <v>36</v>
      </c>
      <c r="F60" s="62">
        <v>4</v>
      </c>
      <c r="G60" s="65">
        <v>25086</v>
      </c>
      <c r="H60" s="2">
        <v>100344</v>
      </c>
    </row>
    <row r="61" spans="1:8">
      <c r="A61" s="111" t="s">
        <v>106</v>
      </c>
      <c r="B61" s="111"/>
      <c r="C61" s="17" t="s">
        <v>107</v>
      </c>
      <c r="D61" s="5">
        <v>10</v>
      </c>
      <c r="E61" s="59" t="s">
        <v>36</v>
      </c>
      <c r="F61" s="60">
        <v>4</v>
      </c>
      <c r="G61" s="65">
        <v>24032</v>
      </c>
      <c r="H61" s="2">
        <v>96128</v>
      </c>
    </row>
    <row r="62" spans="1:8">
      <c r="A62" s="119" t="s">
        <v>108</v>
      </c>
      <c r="B62" s="119"/>
      <c r="C62" s="17" t="s">
        <v>109</v>
      </c>
      <c r="D62" s="5">
        <v>5</v>
      </c>
      <c r="E62" s="59" t="s">
        <v>110</v>
      </c>
      <c r="F62" s="60">
        <v>5</v>
      </c>
      <c r="G62" s="66">
        <v>124459</v>
      </c>
      <c r="H62" s="2">
        <v>622295</v>
      </c>
    </row>
    <row r="63" spans="1:8">
      <c r="A63" s="112" t="s">
        <v>111</v>
      </c>
      <c r="B63" s="113"/>
      <c r="C63" s="17" t="s">
        <v>112</v>
      </c>
      <c r="D63" s="5">
        <v>10</v>
      </c>
      <c r="E63" s="59" t="s">
        <v>110</v>
      </c>
      <c r="F63" s="60">
        <v>4</v>
      </c>
      <c r="G63" s="65">
        <v>73538</v>
      </c>
      <c r="H63" s="2">
        <v>294152</v>
      </c>
    </row>
    <row r="64" spans="1:8">
      <c r="A64" s="111" t="s">
        <v>113</v>
      </c>
      <c r="B64" s="111"/>
      <c r="C64" s="17" t="s">
        <v>114</v>
      </c>
      <c r="D64" s="5">
        <v>453</v>
      </c>
      <c r="E64" s="59" t="s">
        <v>110</v>
      </c>
      <c r="F64" s="60">
        <v>50</v>
      </c>
      <c r="G64" s="66">
        <v>70000</v>
      </c>
      <c r="H64" s="2">
        <v>3500000</v>
      </c>
    </row>
    <row r="65" spans="1:8">
      <c r="A65" s="117" t="s">
        <v>25</v>
      </c>
      <c r="B65" s="117"/>
      <c r="C65" s="117"/>
      <c r="D65" s="117"/>
      <c r="E65" s="117"/>
      <c r="F65" s="64">
        <v>70</v>
      </c>
      <c r="G65" s="3">
        <v>340370</v>
      </c>
      <c r="H65" s="3">
        <v>4682684</v>
      </c>
    </row>
    <row r="66" spans="1:8">
      <c r="A66" s="118" t="s">
        <v>115</v>
      </c>
      <c r="B66" s="118"/>
      <c r="C66" s="118"/>
      <c r="D66" s="118"/>
      <c r="E66" s="118"/>
      <c r="F66" s="118"/>
      <c r="G66" s="118"/>
      <c r="H66" s="118"/>
    </row>
    <row r="67" spans="1:8">
      <c r="A67" s="120" t="s">
        <v>116</v>
      </c>
      <c r="B67" s="120"/>
      <c r="C67" s="35" t="s">
        <v>117</v>
      </c>
      <c r="D67" s="36">
        <v>11</v>
      </c>
      <c r="E67" s="37" t="s">
        <v>39</v>
      </c>
      <c r="F67" s="53">
        <v>9</v>
      </c>
      <c r="G67" s="38">
        <v>191250</v>
      </c>
      <c r="H67" s="38">
        <v>1721250</v>
      </c>
    </row>
    <row r="68" spans="1:8">
      <c r="A68" s="103" t="s">
        <v>118</v>
      </c>
      <c r="B68" s="103"/>
      <c r="C68" s="35" t="s">
        <v>119</v>
      </c>
      <c r="D68" s="36">
        <v>11</v>
      </c>
      <c r="E68" s="37" t="s">
        <v>29</v>
      </c>
      <c r="F68" s="53">
        <v>9</v>
      </c>
      <c r="G68" s="38">
        <v>188750</v>
      </c>
      <c r="H68" s="38">
        <v>1698750</v>
      </c>
    </row>
    <row r="69" spans="1:8">
      <c r="A69" s="104" t="s">
        <v>120</v>
      </c>
      <c r="B69" s="105"/>
      <c r="C69" s="35" t="s">
        <v>121</v>
      </c>
      <c r="D69" s="36"/>
      <c r="E69" s="37" t="s">
        <v>29</v>
      </c>
      <c r="F69" s="36">
        <v>900</v>
      </c>
      <c r="G69" s="38">
        <v>177000.6</v>
      </c>
      <c r="H69" s="38">
        <v>159300540</v>
      </c>
    </row>
    <row r="70" spans="1:8">
      <c r="A70" s="117" t="s">
        <v>25</v>
      </c>
      <c r="B70" s="117"/>
      <c r="C70" s="117"/>
      <c r="D70" s="117"/>
      <c r="E70" s="117"/>
      <c r="F70" s="39">
        <v>918</v>
      </c>
      <c r="G70" s="3">
        <v>557000.6</v>
      </c>
      <c r="H70" s="3">
        <v>162720540</v>
      </c>
    </row>
    <row r="71" spans="1:8">
      <c r="A71" s="122" t="s">
        <v>122</v>
      </c>
      <c r="B71" s="122"/>
      <c r="C71" s="122"/>
      <c r="D71" s="122"/>
      <c r="E71" s="122"/>
      <c r="F71" s="122"/>
      <c r="G71" s="122"/>
      <c r="H71" s="122"/>
    </row>
    <row r="72" spans="1:8">
      <c r="A72" s="117" t="s">
        <v>25</v>
      </c>
      <c r="B72" s="117"/>
      <c r="C72" s="117"/>
      <c r="D72" s="117"/>
      <c r="E72" s="117"/>
      <c r="F72" s="40">
        <v>2976</v>
      </c>
      <c r="G72" s="3">
        <v>1824883.6</v>
      </c>
      <c r="H72" s="3">
        <v>209639910</v>
      </c>
    </row>
    <row r="73" spans="1:8">
      <c r="A73" s="46"/>
      <c r="B73" s="46"/>
      <c r="C73" s="30"/>
      <c r="D73" s="30"/>
      <c r="E73" s="32"/>
      <c r="F73" s="21"/>
      <c r="G73" s="31"/>
      <c r="H73" s="31"/>
    </row>
    <row r="74" spans="1:8">
      <c r="A74" s="99" t="s">
        <v>123</v>
      </c>
      <c r="B74" s="99"/>
      <c r="C74" s="99"/>
      <c r="D74" s="99"/>
      <c r="E74" s="99"/>
      <c r="F74" s="99"/>
      <c r="G74" s="99"/>
      <c r="H74" s="99"/>
    </row>
    <row r="75" spans="1:8">
      <c r="A75" s="15"/>
      <c r="B75" s="15"/>
      <c r="C75" s="16"/>
      <c r="D75" s="21"/>
      <c r="E75" s="16"/>
      <c r="F75" s="16"/>
      <c r="G75" s="15"/>
      <c r="H75" s="15"/>
    </row>
    <row r="76" spans="1:8">
      <c r="A76" s="33"/>
      <c r="B76" s="33"/>
      <c r="C76" s="23"/>
      <c r="D76" s="30"/>
      <c r="E76" s="121" t="s">
        <v>144</v>
      </c>
      <c r="F76" s="121"/>
      <c r="G76" s="121"/>
      <c r="H76" s="121"/>
    </row>
    <row r="77" spans="1:8">
      <c r="A77" s="121" t="s">
        <v>163</v>
      </c>
      <c r="B77" s="121"/>
      <c r="C77" s="121"/>
      <c r="D77" s="30"/>
      <c r="E77" s="121" t="s">
        <v>126</v>
      </c>
      <c r="F77" s="121"/>
      <c r="G77" s="121"/>
      <c r="H77" s="121"/>
    </row>
    <row r="78" spans="1:8">
      <c r="A78" s="18"/>
      <c r="B78" s="18"/>
      <c r="C78" s="22"/>
      <c r="D78" s="30"/>
      <c r="E78" s="34"/>
      <c r="F78" s="14"/>
      <c r="G78" s="4"/>
      <c r="H78" s="4"/>
    </row>
    <row r="79" spans="1:8">
      <c r="A79" s="18"/>
      <c r="B79" s="18"/>
      <c r="C79" s="22"/>
      <c r="D79" s="30"/>
      <c r="E79" s="34"/>
      <c r="F79" s="14"/>
      <c r="G79" s="4"/>
      <c r="H79" s="4"/>
    </row>
    <row r="80" spans="1:8">
      <c r="A80" s="18"/>
      <c r="B80" s="18"/>
      <c r="C80" s="22"/>
      <c r="D80" s="30"/>
      <c r="E80" s="34"/>
      <c r="F80" s="14"/>
      <c r="G80" s="4"/>
      <c r="H80" s="4"/>
    </row>
    <row r="81" spans="1:8">
      <c r="A81" s="123" t="s">
        <v>165</v>
      </c>
      <c r="B81" s="123"/>
      <c r="C81" s="123"/>
      <c r="D81" s="30"/>
      <c r="E81" s="123" t="s">
        <v>128</v>
      </c>
      <c r="F81" s="123"/>
      <c r="G81" s="123"/>
      <c r="H81" s="123"/>
    </row>
    <row r="82" spans="1:8">
      <c r="A82" s="121" t="s">
        <v>164</v>
      </c>
      <c r="B82" s="121"/>
      <c r="C82" s="121"/>
      <c r="D82" s="30"/>
      <c r="E82" s="121" t="s">
        <v>130</v>
      </c>
      <c r="F82" s="121"/>
      <c r="G82" s="121"/>
      <c r="H82" s="121"/>
    </row>
    <row r="83" spans="1:8">
      <c r="A83" s="33"/>
      <c r="B83" s="33"/>
      <c r="C83" s="23"/>
      <c r="D83" s="30"/>
      <c r="E83" s="34"/>
      <c r="F83" s="14"/>
      <c r="G83" s="4"/>
      <c r="H83" s="33"/>
    </row>
    <row r="84" spans="1:8">
      <c r="A84" s="121" t="s">
        <v>131</v>
      </c>
      <c r="B84" s="121"/>
      <c r="C84" s="121"/>
      <c r="D84" s="121"/>
      <c r="E84" s="121"/>
      <c r="F84" s="121"/>
      <c r="G84" s="121"/>
      <c r="H84" s="121"/>
    </row>
    <row r="85" spans="1:8">
      <c r="A85" s="121" t="s">
        <v>132</v>
      </c>
      <c r="B85" s="121"/>
      <c r="C85" s="121"/>
      <c r="D85" s="121"/>
      <c r="E85" s="121"/>
      <c r="F85" s="121"/>
      <c r="G85" s="121"/>
      <c r="H85" s="121"/>
    </row>
    <row r="86" spans="1:8">
      <c r="A86" s="4"/>
      <c r="B86" s="4"/>
      <c r="C86" s="34"/>
      <c r="D86" s="30"/>
      <c r="E86" s="34"/>
      <c r="F86" s="14"/>
      <c r="G86" s="4"/>
      <c r="H86" s="4"/>
    </row>
    <row r="87" spans="1:8">
      <c r="A87" s="4"/>
      <c r="B87" s="4"/>
      <c r="C87" s="34"/>
      <c r="D87" s="30"/>
      <c r="E87" s="34"/>
      <c r="F87" s="14"/>
      <c r="G87" s="4"/>
      <c r="H87" s="4"/>
    </row>
    <row r="88" spans="1:8">
      <c r="A88" s="4"/>
      <c r="B88" s="4"/>
      <c r="C88" s="34"/>
      <c r="D88" s="30"/>
      <c r="E88" s="34"/>
      <c r="F88" s="14"/>
      <c r="G88" s="4"/>
      <c r="H88" s="4"/>
    </row>
    <row r="89" spans="1:8">
      <c r="A89" s="33"/>
      <c r="B89" s="33"/>
      <c r="C89" s="23"/>
      <c r="D89" s="30"/>
      <c r="E89" s="34"/>
      <c r="F89" s="13"/>
      <c r="G89" s="33"/>
      <c r="H89" s="33"/>
    </row>
    <row r="90" spans="1:8">
      <c r="A90" s="123" t="s">
        <v>166</v>
      </c>
      <c r="B90" s="123"/>
      <c r="C90" s="123"/>
      <c r="D90" s="123"/>
      <c r="E90" s="123"/>
      <c r="F90" s="123"/>
      <c r="G90" s="123"/>
      <c r="H90" s="123"/>
    </row>
    <row r="91" spans="1:8">
      <c r="A91" s="121" t="s">
        <v>160</v>
      </c>
      <c r="B91" s="121"/>
      <c r="C91" s="121"/>
      <c r="D91" s="121"/>
      <c r="E91" s="121"/>
      <c r="F91" s="121"/>
      <c r="G91" s="121"/>
      <c r="H91" s="121"/>
    </row>
  </sheetData>
  <mergeCells count="81">
    <mergeCell ref="A90:H90"/>
    <mergeCell ref="A91:H91"/>
    <mergeCell ref="A81:C81"/>
    <mergeCell ref="E81:H81"/>
    <mergeCell ref="A82:C82"/>
    <mergeCell ref="E82:H82"/>
    <mergeCell ref="A84:H84"/>
    <mergeCell ref="A85:H85"/>
    <mergeCell ref="A77:C77"/>
    <mergeCell ref="E77:H77"/>
    <mergeCell ref="A64:B64"/>
    <mergeCell ref="A65:E65"/>
    <mergeCell ref="A66:H66"/>
    <mergeCell ref="A67:B67"/>
    <mergeCell ref="A68:B68"/>
    <mergeCell ref="A69:B69"/>
    <mergeCell ref="A70:E70"/>
    <mergeCell ref="A71:H71"/>
    <mergeCell ref="A72:E72"/>
    <mergeCell ref="A74:H74"/>
    <mergeCell ref="E76:H76"/>
    <mergeCell ref="A63:B63"/>
    <mergeCell ref="A52:B52"/>
    <mergeCell ref="A53:B53"/>
    <mergeCell ref="A54:B54"/>
    <mergeCell ref="A55:B55"/>
    <mergeCell ref="A56:B56"/>
    <mergeCell ref="A57:E57"/>
    <mergeCell ref="A58:H58"/>
    <mergeCell ref="A59:B59"/>
    <mergeCell ref="A60:B60"/>
    <mergeCell ref="A61:B61"/>
    <mergeCell ref="A62:B62"/>
    <mergeCell ref="A51:B51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39:B39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27:B27"/>
    <mergeCell ref="A16:H16"/>
    <mergeCell ref="A17:B17"/>
    <mergeCell ref="A18:B18"/>
    <mergeCell ref="A19:B19"/>
    <mergeCell ref="A20:E20"/>
    <mergeCell ref="A21:H21"/>
    <mergeCell ref="A22:B22"/>
    <mergeCell ref="A23:B23"/>
    <mergeCell ref="A24:B24"/>
    <mergeCell ref="A25:B25"/>
    <mergeCell ref="A26:B26"/>
    <mergeCell ref="A15:B15"/>
    <mergeCell ref="A1:H1"/>
    <mergeCell ref="A2:H2"/>
    <mergeCell ref="A3:H3"/>
    <mergeCell ref="A4:H4"/>
    <mergeCell ref="A5:H5"/>
    <mergeCell ref="A8:H8"/>
    <mergeCell ref="A9:H9"/>
    <mergeCell ref="A11:H11"/>
    <mergeCell ref="A12:H12"/>
    <mergeCell ref="A13:H13"/>
    <mergeCell ref="A14:B14"/>
  </mergeCells>
  <hyperlinks>
    <hyperlink ref="A5" r:id="rId1" display="mailto:dlhbanjarmasin@gmail.com"/>
  </hyperlinks>
  <pageMargins left="0.25" right="0.25" top="0.75" bottom="0.75" header="0.3" footer="0.3"/>
  <pageSetup paperSize="10000" scale="99" orientation="portrait" horizontalDpi="0" verticalDpi="0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91"/>
  <sheetViews>
    <sheetView view="pageBreakPreview" topLeftCell="A40" zoomScaleNormal="100" zoomScaleSheetLayoutView="100" workbookViewId="0">
      <selection activeCell="A14" sqref="A14:B14"/>
    </sheetView>
  </sheetViews>
  <sheetFormatPr defaultRowHeight="14.5"/>
  <cols>
    <col min="1" max="2" width="9.54296875" customWidth="1"/>
    <col min="3" max="3" width="30.36328125" customWidth="1"/>
    <col min="7" max="7" width="11.7265625" customWidth="1"/>
    <col min="8" max="8" width="15.453125" customWidth="1"/>
  </cols>
  <sheetData>
    <row r="1" spans="1:8" ht="17.5">
      <c r="A1" s="92" t="s">
        <v>0</v>
      </c>
      <c r="B1" s="92"/>
      <c r="C1" s="92"/>
      <c r="D1" s="92"/>
      <c r="E1" s="92"/>
      <c r="F1" s="92"/>
      <c r="G1" s="92"/>
      <c r="H1" s="92"/>
    </row>
    <row r="2" spans="1:8" ht="22">
      <c r="A2" s="93" t="s">
        <v>1</v>
      </c>
      <c r="B2" s="93"/>
      <c r="C2" s="93"/>
      <c r="D2" s="93"/>
      <c r="E2" s="93"/>
      <c r="F2" s="93"/>
      <c r="G2" s="93"/>
      <c r="H2" s="93"/>
    </row>
    <row r="3" spans="1:8">
      <c r="A3" s="94" t="s">
        <v>2</v>
      </c>
      <c r="B3" s="94"/>
      <c r="C3" s="94"/>
      <c r="D3" s="94"/>
      <c r="E3" s="94"/>
      <c r="F3" s="94"/>
      <c r="G3" s="94"/>
      <c r="H3" s="94"/>
    </row>
    <row r="4" spans="1:8">
      <c r="A4" s="94" t="s">
        <v>3</v>
      </c>
      <c r="B4" s="94"/>
      <c r="C4" s="94"/>
      <c r="D4" s="94"/>
      <c r="E4" s="94"/>
      <c r="F4" s="94"/>
      <c r="G4" s="94"/>
      <c r="H4" s="94"/>
    </row>
    <row r="5" spans="1:8">
      <c r="A5" s="95" t="s">
        <v>4</v>
      </c>
      <c r="B5" s="95"/>
      <c r="C5" s="95"/>
      <c r="D5" s="95"/>
      <c r="E5" s="95"/>
      <c r="F5" s="95"/>
      <c r="G5" s="95"/>
      <c r="H5" s="95"/>
    </row>
    <row r="6" spans="1:8" ht="15" thickBot="1">
      <c r="A6" s="7"/>
      <c r="B6" s="8"/>
      <c r="C6" s="9"/>
      <c r="D6" s="9"/>
      <c r="E6" s="9"/>
      <c r="F6" s="55"/>
      <c r="G6" s="8"/>
      <c r="H6" s="8"/>
    </row>
    <row r="7" spans="1:8" ht="15" thickTop="1">
      <c r="A7" s="10"/>
      <c r="B7" s="11"/>
      <c r="C7" s="6"/>
      <c r="D7" s="6"/>
      <c r="E7" s="6"/>
      <c r="F7" s="47"/>
      <c r="G7" s="11"/>
      <c r="H7" s="11"/>
    </row>
    <row r="8" spans="1:8">
      <c r="A8" s="96" t="s">
        <v>5</v>
      </c>
      <c r="B8" s="96"/>
      <c r="C8" s="96"/>
      <c r="D8" s="96"/>
      <c r="E8" s="96"/>
      <c r="F8" s="96"/>
      <c r="G8" s="96"/>
      <c r="H8" s="96"/>
    </row>
    <row r="9" spans="1:8">
      <c r="A9" s="97" t="s">
        <v>137</v>
      </c>
      <c r="B9" s="97"/>
      <c r="C9" s="97"/>
      <c r="D9" s="97"/>
      <c r="E9" s="97"/>
      <c r="F9" s="97"/>
      <c r="G9" s="97"/>
      <c r="H9" s="97"/>
    </row>
    <row r="10" spans="1:8">
      <c r="A10" s="12"/>
      <c r="B10" s="12"/>
      <c r="C10" s="13"/>
      <c r="D10" s="13"/>
      <c r="E10" s="14"/>
      <c r="F10" s="13"/>
      <c r="G10" s="12"/>
      <c r="H10" s="12"/>
    </row>
    <row r="11" spans="1:8">
      <c r="A11" s="98" t="s">
        <v>145</v>
      </c>
      <c r="B11" s="98"/>
      <c r="C11" s="98"/>
      <c r="D11" s="98"/>
      <c r="E11" s="98"/>
      <c r="F11" s="98"/>
      <c r="G11" s="98"/>
      <c r="H11" s="98"/>
    </row>
    <row r="12" spans="1:8">
      <c r="A12" s="99" t="s">
        <v>8</v>
      </c>
      <c r="B12" s="99"/>
      <c r="C12" s="99"/>
      <c r="D12" s="99"/>
      <c r="E12" s="99"/>
      <c r="F12" s="99"/>
      <c r="G12" s="99"/>
      <c r="H12" s="99"/>
    </row>
    <row r="13" spans="1:8">
      <c r="A13" s="100" t="s">
        <v>142</v>
      </c>
      <c r="B13" s="100"/>
      <c r="C13" s="100"/>
      <c r="D13" s="100"/>
      <c r="E13" s="100"/>
      <c r="F13" s="100"/>
      <c r="G13" s="100"/>
      <c r="H13" s="100"/>
    </row>
    <row r="14" spans="1:8" ht="34.5">
      <c r="A14" s="91" t="s">
        <v>10</v>
      </c>
      <c r="B14" s="91"/>
      <c r="C14" s="25" t="s">
        <v>11</v>
      </c>
      <c r="D14" s="19" t="s">
        <v>12</v>
      </c>
      <c r="E14" s="26" t="s">
        <v>13</v>
      </c>
      <c r="F14" s="41" t="s">
        <v>14</v>
      </c>
      <c r="G14" s="20" t="s">
        <v>15</v>
      </c>
      <c r="H14" s="20" t="s">
        <v>16</v>
      </c>
    </row>
    <row r="15" spans="1:8">
      <c r="A15" s="91">
        <v>1</v>
      </c>
      <c r="B15" s="91"/>
      <c r="C15" s="25">
        <v>2</v>
      </c>
      <c r="D15" s="25">
        <v>3</v>
      </c>
      <c r="E15" s="27">
        <v>4</v>
      </c>
      <c r="F15" s="41">
        <v>5</v>
      </c>
      <c r="G15" s="20">
        <v>6</v>
      </c>
      <c r="H15" s="20">
        <v>7</v>
      </c>
    </row>
    <row r="16" spans="1:8">
      <c r="A16" s="102" t="s">
        <v>17</v>
      </c>
      <c r="B16" s="102"/>
      <c r="C16" s="102"/>
      <c r="D16" s="102"/>
      <c r="E16" s="102"/>
      <c r="F16" s="102"/>
      <c r="G16" s="102"/>
      <c r="H16" s="102"/>
    </row>
    <row r="17" spans="1:8">
      <c r="A17" s="103" t="s">
        <v>18</v>
      </c>
      <c r="B17" s="103"/>
      <c r="C17" s="42" t="s">
        <v>19</v>
      </c>
      <c r="D17" s="45">
        <v>45</v>
      </c>
      <c r="E17" s="37" t="s">
        <v>20</v>
      </c>
      <c r="F17" s="52">
        <v>20</v>
      </c>
      <c r="G17" s="56">
        <v>25300</v>
      </c>
      <c r="H17" s="44">
        <v>506000</v>
      </c>
    </row>
    <row r="18" spans="1:8">
      <c r="A18" s="104" t="s">
        <v>21</v>
      </c>
      <c r="B18" s="105"/>
      <c r="C18" s="42" t="s">
        <v>22</v>
      </c>
      <c r="D18" s="43">
        <v>1000</v>
      </c>
      <c r="E18" s="37" t="s">
        <v>20</v>
      </c>
      <c r="F18" s="52">
        <v>500</v>
      </c>
      <c r="G18" s="56">
        <v>5000</v>
      </c>
      <c r="H18" s="44">
        <v>2500000</v>
      </c>
    </row>
    <row r="19" spans="1:8">
      <c r="A19" s="103" t="s">
        <v>23</v>
      </c>
      <c r="B19" s="103"/>
      <c r="C19" s="42" t="s">
        <v>24</v>
      </c>
      <c r="D19" s="43">
        <v>490</v>
      </c>
      <c r="E19" s="37" t="s">
        <v>20</v>
      </c>
      <c r="F19" s="52">
        <v>300</v>
      </c>
      <c r="G19" s="56">
        <v>5000</v>
      </c>
      <c r="H19" s="44">
        <v>1500000</v>
      </c>
    </row>
    <row r="20" spans="1:8">
      <c r="A20" s="106" t="s">
        <v>25</v>
      </c>
      <c r="B20" s="107"/>
      <c r="C20" s="107"/>
      <c r="D20" s="107"/>
      <c r="E20" s="108"/>
      <c r="F20" s="57">
        <v>820</v>
      </c>
      <c r="G20" s="58">
        <v>35300</v>
      </c>
      <c r="H20" s="51">
        <v>4506000</v>
      </c>
    </row>
    <row r="21" spans="1:8">
      <c r="A21" s="109" t="s">
        <v>26</v>
      </c>
      <c r="B21" s="109"/>
      <c r="C21" s="109"/>
      <c r="D21" s="109"/>
      <c r="E21" s="109"/>
      <c r="F21" s="110"/>
      <c r="G21" s="109"/>
      <c r="H21" s="109"/>
    </row>
    <row r="22" spans="1:8">
      <c r="A22" s="111" t="s">
        <v>27</v>
      </c>
      <c r="B22" s="111"/>
      <c r="C22" s="17" t="s">
        <v>28</v>
      </c>
      <c r="D22" s="5">
        <v>5</v>
      </c>
      <c r="E22" s="59" t="s">
        <v>29</v>
      </c>
      <c r="F22" s="60">
        <v>4</v>
      </c>
      <c r="G22" s="48">
        <v>31635</v>
      </c>
      <c r="H22" s="2">
        <v>126540</v>
      </c>
    </row>
    <row r="23" spans="1:8">
      <c r="A23" s="111" t="s">
        <v>30</v>
      </c>
      <c r="B23" s="111"/>
      <c r="C23" s="17" t="s">
        <v>31</v>
      </c>
      <c r="D23" s="5">
        <v>10</v>
      </c>
      <c r="E23" s="59" t="s">
        <v>29</v>
      </c>
      <c r="F23" s="60">
        <v>6</v>
      </c>
      <c r="G23" s="48">
        <v>22755</v>
      </c>
      <c r="H23" s="2">
        <v>136530</v>
      </c>
    </row>
    <row r="24" spans="1:8">
      <c r="A24" s="111" t="s">
        <v>32</v>
      </c>
      <c r="B24" s="111"/>
      <c r="C24" s="17" t="s">
        <v>33</v>
      </c>
      <c r="D24" s="5">
        <v>10</v>
      </c>
      <c r="E24" s="59" t="s">
        <v>29</v>
      </c>
      <c r="F24" s="60">
        <v>10</v>
      </c>
      <c r="G24" s="48">
        <v>42735</v>
      </c>
      <c r="H24" s="2">
        <v>427350</v>
      </c>
    </row>
    <row r="25" spans="1:8">
      <c r="A25" s="111" t="s">
        <v>34</v>
      </c>
      <c r="B25" s="111"/>
      <c r="C25" s="17" t="s">
        <v>35</v>
      </c>
      <c r="D25" s="5">
        <v>51</v>
      </c>
      <c r="E25" s="59" t="s">
        <v>36</v>
      </c>
      <c r="F25" s="60">
        <v>20</v>
      </c>
      <c r="G25" s="48">
        <v>4662</v>
      </c>
      <c r="H25" s="2">
        <v>93240</v>
      </c>
    </row>
    <row r="26" spans="1:8">
      <c r="A26" s="111" t="s">
        <v>37</v>
      </c>
      <c r="B26" s="111"/>
      <c r="C26" s="17" t="s">
        <v>38</v>
      </c>
      <c r="D26" s="5">
        <v>10</v>
      </c>
      <c r="E26" s="59" t="s">
        <v>39</v>
      </c>
      <c r="F26" s="60">
        <v>3</v>
      </c>
      <c r="G26" s="48">
        <v>22200</v>
      </c>
      <c r="H26" s="2">
        <v>66600</v>
      </c>
    </row>
    <row r="27" spans="1:8">
      <c r="A27" s="101" t="s">
        <v>40</v>
      </c>
      <c r="B27" s="101"/>
      <c r="C27" s="17" t="s">
        <v>41</v>
      </c>
      <c r="D27" s="5">
        <v>5</v>
      </c>
      <c r="E27" s="59" t="s">
        <v>39</v>
      </c>
      <c r="F27" s="60">
        <v>1</v>
      </c>
      <c r="G27" s="48">
        <v>115440</v>
      </c>
      <c r="H27" s="2">
        <v>115440</v>
      </c>
    </row>
    <row r="28" spans="1:8">
      <c r="A28" s="111" t="s">
        <v>42</v>
      </c>
      <c r="B28" s="111"/>
      <c r="C28" s="17" t="s">
        <v>43</v>
      </c>
      <c r="D28" s="5">
        <v>50</v>
      </c>
      <c r="E28" s="59" t="s">
        <v>29</v>
      </c>
      <c r="F28" s="60">
        <v>9</v>
      </c>
      <c r="G28" s="48">
        <v>29970</v>
      </c>
      <c r="H28" s="2">
        <v>269730</v>
      </c>
    </row>
    <row r="29" spans="1:8">
      <c r="A29" s="111" t="s">
        <v>44</v>
      </c>
      <c r="B29" s="111"/>
      <c r="C29" s="17" t="s">
        <v>45</v>
      </c>
      <c r="D29" s="5">
        <v>25</v>
      </c>
      <c r="E29" s="59" t="s">
        <v>29</v>
      </c>
      <c r="F29" s="60">
        <v>11</v>
      </c>
      <c r="G29" s="48">
        <v>5883</v>
      </c>
      <c r="H29" s="2">
        <v>64713</v>
      </c>
    </row>
    <row r="30" spans="1:8">
      <c r="A30" s="111" t="s">
        <v>46</v>
      </c>
      <c r="B30" s="111"/>
      <c r="C30" s="17" t="s">
        <v>47</v>
      </c>
      <c r="D30" s="5">
        <v>51</v>
      </c>
      <c r="E30" s="59" t="s">
        <v>36</v>
      </c>
      <c r="F30" s="60">
        <v>8</v>
      </c>
      <c r="G30" s="48">
        <v>5717</v>
      </c>
      <c r="H30" s="2">
        <v>45736</v>
      </c>
    </row>
    <row r="31" spans="1:8">
      <c r="A31" s="111" t="s">
        <v>48</v>
      </c>
      <c r="B31" s="111"/>
      <c r="C31" s="17" t="s">
        <v>49</v>
      </c>
      <c r="D31" s="5">
        <v>50</v>
      </c>
      <c r="E31" s="59" t="s">
        <v>29</v>
      </c>
      <c r="F31" s="60">
        <v>48</v>
      </c>
      <c r="G31" s="48">
        <v>46898</v>
      </c>
      <c r="H31" s="2">
        <v>2251104</v>
      </c>
    </row>
    <row r="32" spans="1:8">
      <c r="A32" s="111" t="s">
        <v>50</v>
      </c>
      <c r="B32" s="111"/>
      <c r="C32" s="17" t="s">
        <v>51</v>
      </c>
      <c r="D32" s="5">
        <v>50</v>
      </c>
      <c r="E32" s="59" t="s">
        <v>36</v>
      </c>
      <c r="F32" s="60">
        <v>38</v>
      </c>
      <c r="G32" s="48">
        <v>11100</v>
      </c>
      <c r="H32" s="2">
        <v>421800</v>
      </c>
    </row>
    <row r="33" spans="1:8">
      <c r="A33" s="111" t="s">
        <v>52</v>
      </c>
      <c r="B33" s="111"/>
      <c r="C33" s="17" t="s">
        <v>53</v>
      </c>
      <c r="D33" s="5">
        <v>10</v>
      </c>
      <c r="E33" s="59" t="s">
        <v>29</v>
      </c>
      <c r="F33" s="60">
        <v>8</v>
      </c>
      <c r="G33" s="48">
        <v>23310</v>
      </c>
      <c r="H33" s="2">
        <v>186480</v>
      </c>
    </row>
    <row r="34" spans="1:8">
      <c r="A34" s="111" t="s">
        <v>54</v>
      </c>
      <c r="B34" s="111"/>
      <c r="C34" s="17" t="s">
        <v>55</v>
      </c>
      <c r="D34" s="5">
        <v>3</v>
      </c>
      <c r="E34" s="59" t="s">
        <v>29</v>
      </c>
      <c r="F34" s="60">
        <v>3</v>
      </c>
      <c r="G34" s="48">
        <v>13320</v>
      </c>
      <c r="H34" s="2">
        <v>39960</v>
      </c>
    </row>
    <row r="35" spans="1:8">
      <c r="A35" s="111" t="s">
        <v>56</v>
      </c>
      <c r="B35" s="111"/>
      <c r="C35" s="17" t="s">
        <v>57</v>
      </c>
      <c r="D35" s="5">
        <v>25</v>
      </c>
      <c r="E35" s="59" t="s">
        <v>36</v>
      </c>
      <c r="F35" s="60">
        <v>3</v>
      </c>
      <c r="G35" s="48">
        <v>28860</v>
      </c>
      <c r="H35" s="2">
        <v>86580</v>
      </c>
    </row>
    <row r="36" spans="1:8">
      <c r="A36" s="111" t="s">
        <v>58</v>
      </c>
      <c r="B36" s="111"/>
      <c r="C36" s="17" t="s">
        <v>59</v>
      </c>
      <c r="D36" s="5">
        <v>25</v>
      </c>
      <c r="E36" s="59" t="s">
        <v>36</v>
      </c>
      <c r="F36" s="60">
        <v>5</v>
      </c>
      <c r="G36" s="48">
        <v>19148</v>
      </c>
      <c r="H36" s="2">
        <v>95740</v>
      </c>
    </row>
    <row r="37" spans="1:8">
      <c r="A37" s="111" t="s">
        <v>60</v>
      </c>
      <c r="B37" s="111"/>
      <c r="C37" s="17" t="s">
        <v>61</v>
      </c>
      <c r="D37" s="5">
        <v>59</v>
      </c>
      <c r="E37" s="59" t="s">
        <v>36</v>
      </c>
      <c r="F37" s="60">
        <v>18</v>
      </c>
      <c r="G37" s="48">
        <v>4662</v>
      </c>
      <c r="H37" s="2">
        <v>83916</v>
      </c>
    </row>
    <row r="38" spans="1:8">
      <c r="A38" s="111" t="s">
        <v>62</v>
      </c>
      <c r="B38" s="111"/>
      <c r="C38" s="17" t="s">
        <v>63</v>
      </c>
      <c r="D38" s="5">
        <v>24</v>
      </c>
      <c r="E38" s="59" t="s">
        <v>36</v>
      </c>
      <c r="F38" s="60">
        <v>1</v>
      </c>
      <c r="G38" s="48">
        <v>5550</v>
      </c>
      <c r="H38" s="2">
        <v>5550</v>
      </c>
    </row>
    <row r="39" spans="1:8">
      <c r="A39" s="114" t="s">
        <v>64</v>
      </c>
      <c r="B39" s="114"/>
      <c r="C39" s="54" t="s">
        <v>65</v>
      </c>
      <c r="D39" s="5">
        <v>25</v>
      </c>
      <c r="E39" s="59" t="s">
        <v>36</v>
      </c>
      <c r="F39" s="62">
        <v>3</v>
      </c>
      <c r="G39" s="48">
        <v>13154</v>
      </c>
      <c r="H39" s="2">
        <v>39462</v>
      </c>
    </row>
    <row r="40" spans="1:8">
      <c r="A40" s="115" t="s">
        <v>66</v>
      </c>
      <c r="B40" s="116"/>
      <c r="C40" s="50" t="s">
        <v>67</v>
      </c>
      <c r="D40" s="5">
        <v>26</v>
      </c>
      <c r="E40" s="59" t="s">
        <v>36</v>
      </c>
      <c r="F40" s="62">
        <v>12</v>
      </c>
      <c r="G40" s="48">
        <v>10545</v>
      </c>
      <c r="H40" s="2">
        <v>126540</v>
      </c>
    </row>
    <row r="41" spans="1:8">
      <c r="A41" s="111" t="s">
        <v>68</v>
      </c>
      <c r="B41" s="111"/>
      <c r="C41" s="17" t="s">
        <v>69</v>
      </c>
      <c r="D41" s="5">
        <v>12</v>
      </c>
      <c r="E41" s="59" t="s">
        <v>29</v>
      </c>
      <c r="F41" s="60">
        <v>4</v>
      </c>
      <c r="G41" s="48">
        <v>11100</v>
      </c>
      <c r="H41" s="2">
        <v>44400</v>
      </c>
    </row>
    <row r="42" spans="1:8">
      <c r="A42" s="112" t="s">
        <v>70</v>
      </c>
      <c r="B42" s="113"/>
      <c r="C42" s="49" t="s">
        <v>71</v>
      </c>
      <c r="D42" s="5">
        <v>12</v>
      </c>
      <c r="E42" s="59" t="s">
        <v>29</v>
      </c>
      <c r="F42" s="60">
        <v>2</v>
      </c>
      <c r="G42" s="48">
        <v>12210</v>
      </c>
      <c r="H42" s="2">
        <v>24420</v>
      </c>
    </row>
    <row r="43" spans="1:8">
      <c r="A43" s="111" t="s">
        <v>72</v>
      </c>
      <c r="B43" s="111"/>
      <c r="C43" s="17" t="s">
        <v>73</v>
      </c>
      <c r="D43" s="5">
        <v>24</v>
      </c>
      <c r="E43" s="59" t="s">
        <v>29</v>
      </c>
      <c r="F43" s="60">
        <v>6</v>
      </c>
      <c r="G43" s="48">
        <v>11655</v>
      </c>
      <c r="H43" s="2">
        <v>69930</v>
      </c>
    </row>
    <row r="44" spans="1:8">
      <c r="A44" s="111" t="s">
        <v>74</v>
      </c>
      <c r="B44" s="111"/>
      <c r="C44" s="17" t="s">
        <v>75</v>
      </c>
      <c r="D44" s="5">
        <v>50</v>
      </c>
      <c r="E44" s="59" t="s">
        <v>29</v>
      </c>
      <c r="F44" s="60">
        <v>30</v>
      </c>
      <c r="G44" s="48">
        <v>22200</v>
      </c>
      <c r="H44" s="2">
        <v>666000</v>
      </c>
    </row>
    <row r="45" spans="1:8">
      <c r="A45" s="112" t="s">
        <v>76</v>
      </c>
      <c r="B45" s="113"/>
      <c r="C45" s="49" t="s">
        <v>77</v>
      </c>
      <c r="D45" s="5">
        <v>21</v>
      </c>
      <c r="E45" s="59" t="s">
        <v>29</v>
      </c>
      <c r="F45" s="60">
        <v>11</v>
      </c>
      <c r="G45" s="48">
        <v>35798</v>
      </c>
      <c r="H45" s="2">
        <v>393778</v>
      </c>
    </row>
    <row r="46" spans="1:8">
      <c r="A46" s="111" t="s">
        <v>78</v>
      </c>
      <c r="B46" s="111"/>
      <c r="C46" s="17" t="s">
        <v>79</v>
      </c>
      <c r="D46" s="5">
        <v>100</v>
      </c>
      <c r="E46" s="59" t="s">
        <v>80</v>
      </c>
      <c r="F46" s="60">
        <v>70</v>
      </c>
      <c r="G46" s="48">
        <v>46065</v>
      </c>
      <c r="H46" s="2">
        <v>3224550</v>
      </c>
    </row>
    <row r="47" spans="1:8">
      <c r="A47" s="111" t="s">
        <v>81</v>
      </c>
      <c r="B47" s="111"/>
      <c r="C47" s="49" t="s">
        <v>82</v>
      </c>
      <c r="D47" s="5">
        <v>11</v>
      </c>
      <c r="E47" s="59" t="s">
        <v>29</v>
      </c>
      <c r="F47" s="62">
        <v>5</v>
      </c>
      <c r="G47" s="48">
        <v>10545</v>
      </c>
      <c r="H47" s="2">
        <v>52725</v>
      </c>
    </row>
    <row r="48" spans="1:8">
      <c r="A48" s="111" t="s">
        <v>83</v>
      </c>
      <c r="B48" s="111"/>
      <c r="C48" s="17" t="s">
        <v>84</v>
      </c>
      <c r="D48" s="5">
        <v>100</v>
      </c>
      <c r="E48" s="59" t="s">
        <v>36</v>
      </c>
      <c r="F48" s="60">
        <v>100</v>
      </c>
      <c r="G48" s="2">
        <v>4125</v>
      </c>
      <c r="H48" s="2">
        <v>412500</v>
      </c>
    </row>
    <row r="49" spans="1:8">
      <c r="A49" s="111" t="s">
        <v>85</v>
      </c>
      <c r="B49" s="111"/>
      <c r="C49" s="17" t="s">
        <v>86</v>
      </c>
      <c r="D49" s="5">
        <v>160</v>
      </c>
      <c r="E49" s="59" t="s">
        <v>36</v>
      </c>
      <c r="F49" s="60">
        <v>160</v>
      </c>
      <c r="G49" s="61">
        <v>85000</v>
      </c>
      <c r="H49" s="2">
        <v>13600000</v>
      </c>
    </row>
    <row r="50" spans="1:8">
      <c r="A50" s="111" t="s">
        <v>87</v>
      </c>
      <c r="B50" s="111"/>
      <c r="C50" s="17" t="s">
        <v>88</v>
      </c>
      <c r="D50" s="5">
        <v>25</v>
      </c>
      <c r="E50" s="59" t="s">
        <v>36</v>
      </c>
      <c r="F50" s="60">
        <v>500</v>
      </c>
      <c r="G50" s="48">
        <v>23310</v>
      </c>
      <c r="H50" s="2">
        <v>11655000</v>
      </c>
    </row>
    <row r="51" spans="1:8">
      <c r="A51" s="115" t="s">
        <v>89</v>
      </c>
      <c r="B51" s="116"/>
      <c r="C51" s="50" t="s">
        <v>90</v>
      </c>
      <c r="D51" s="5">
        <v>10</v>
      </c>
      <c r="E51" s="59" t="s">
        <v>29</v>
      </c>
      <c r="F51" s="63">
        <v>2</v>
      </c>
      <c r="G51" s="48">
        <v>57720</v>
      </c>
      <c r="H51" s="2">
        <v>115440</v>
      </c>
    </row>
    <row r="52" spans="1:8">
      <c r="A52" s="111" t="s">
        <v>91</v>
      </c>
      <c r="B52" s="111"/>
      <c r="C52" s="17" t="s">
        <v>92</v>
      </c>
      <c r="D52" s="5">
        <v>10</v>
      </c>
      <c r="E52" s="59" t="s">
        <v>29</v>
      </c>
      <c r="F52" s="60">
        <v>5</v>
      </c>
      <c r="G52" s="48">
        <v>4662</v>
      </c>
      <c r="H52" s="2">
        <v>23310</v>
      </c>
    </row>
    <row r="53" spans="1:8">
      <c r="A53" s="111" t="s">
        <v>93</v>
      </c>
      <c r="B53" s="111"/>
      <c r="C53" s="17" t="s">
        <v>94</v>
      </c>
      <c r="D53" s="5">
        <v>5</v>
      </c>
      <c r="E53" s="59" t="s">
        <v>29</v>
      </c>
      <c r="F53" s="60">
        <v>3</v>
      </c>
      <c r="G53" s="48">
        <v>17594</v>
      </c>
      <c r="H53" s="2">
        <v>52782</v>
      </c>
    </row>
    <row r="54" spans="1:8">
      <c r="A54" s="111" t="s">
        <v>95</v>
      </c>
      <c r="B54" s="111"/>
      <c r="C54" s="17" t="s">
        <v>96</v>
      </c>
      <c r="D54" s="5">
        <v>14</v>
      </c>
      <c r="E54" s="59" t="s">
        <v>29</v>
      </c>
      <c r="F54" s="60">
        <v>5</v>
      </c>
      <c r="G54" s="48">
        <v>18870</v>
      </c>
      <c r="H54" s="2">
        <v>94350</v>
      </c>
    </row>
    <row r="55" spans="1:8">
      <c r="A55" s="111" t="s">
        <v>97</v>
      </c>
      <c r="B55" s="111"/>
      <c r="C55" s="17" t="s">
        <v>98</v>
      </c>
      <c r="D55" s="5">
        <v>12</v>
      </c>
      <c r="E55" s="59" t="s">
        <v>29</v>
      </c>
      <c r="F55" s="60">
        <v>4</v>
      </c>
      <c r="G55" s="48">
        <v>23310</v>
      </c>
      <c r="H55" s="2">
        <v>93240</v>
      </c>
    </row>
    <row r="56" spans="1:8">
      <c r="A56" s="111" t="s">
        <v>99</v>
      </c>
      <c r="B56" s="111"/>
      <c r="C56" s="17" t="s">
        <v>100</v>
      </c>
      <c r="D56" s="5">
        <v>50</v>
      </c>
      <c r="E56" s="59" t="s">
        <v>80</v>
      </c>
      <c r="F56" s="60">
        <v>50</v>
      </c>
      <c r="G56" s="65">
        <v>50505</v>
      </c>
      <c r="H56" s="2">
        <v>2525250</v>
      </c>
    </row>
    <row r="57" spans="1:8">
      <c r="A57" s="117" t="s">
        <v>25</v>
      </c>
      <c r="B57" s="117"/>
      <c r="C57" s="117"/>
      <c r="D57" s="117"/>
      <c r="E57" s="117"/>
      <c r="F57" s="64">
        <v>1168</v>
      </c>
      <c r="G57" s="3">
        <v>892213</v>
      </c>
      <c r="H57" s="3">
        <v>37730686</v>
      </c>
    </row>
    <row r="58" spans="1:8">
      <c r="A58" s="109" t="s">
        <v>101</v>
      </c>
      <c r="B58" s="109"/>
      <c r="C58" s="109"/>
      <c r="D58" s="109"/>
      <c r="E58" s="109"/>
      <c r="F58" s="110"/>
      <c r="G58" s="109"/>
      <c r="H58" s="109"/>
    </row>
    <row r="59" spans="1:8">
      <c r="A59" s="111" t="s">
        <v>102</v>
      </c>
      <c r="B59" s="111"/>
      <c r="C59" s="17" t="s">
        <v>103</v>
      </c>
      <c r="D59" s="5">
        <v>10</v>
      </c>
      <c r="E59" s="59" t="s">
        <v>36</v>
      </c>
      <c r="F59" s="62">
        <v>3</v>
      </c>
      <c r="G59" s="65">
        <v>23255</v>
      </c>
      <c r="H59" s="2">
        <v>69765</v>
      </c>
    </row>
    <row r="60" spans="1:8">
      <c r="A60" s="111" t="s">
        <v>104</v>
      </c>
      <c r="B60" s="111"/>
      <c r="C60" s="17" t="s">
        <v>105</v>
      </c>
      <c r="D60" s="5">
        <v>11</v>
      </c>
      <c r="E60" s="59" t="s">
        <v>36</v>
      </c>
      <c r="F60" s="62">
        <v>4</v>
      </c>
      <c r="G60" s="65">
        <v>25086</v>
      </c>
      <c r="H60" s="2">
        <v>100344</v>
      </c>
    </row>
    <row r="61" spans="1:8">
      <c r="A61" s="111" t="s">
        <v>106</v>
      </c>
      <c r="B61" s="111"/>
      <c r="C61" s="17" t="s">
        <v>107</v>
      </c>
      <c r="D61" s="5">
        <v>10</v>
      </c>
      <c r="E61" s="59" t="s">
        <v>36</v>
      </c>
      <c r="F61" s="60">
        <v>4</v>
      </c>
      <c r="G61" s="65">
        <v>24032</v>
      </c>
      <c r="H61" s="2">
        <v>96128</v>
      </c>
    </row>
    <row r="62" spans="1:8">
      <c r="A62" s="119" t="s">
        <v>108</v>
      </c>
      <c r="B62" s="119"/>
      <c r="C62" s="17" t="s">
        <v>109</v>
      </c>
      <c r="D62" s="5">
        <v>5</v>
      </c>
      <c r="E62" s="59" t="s">
        <v>110</v>
      </c>
      <c r="F62" s="60">
        <v>5</v>
      </c>
      <c r="G62" s="66">
        <v>124459</v>
      </c>
      <c r="H62" s="2">
        <v>622295</v>
      </c>
    </row>
    <row r="63" spans="1:8">
      <c r="A63" s="112" t="s">
        <v>111</v>
      </c>
      <c r="B63" s="113"/>
      <c r="C63" s="17" t="s">
        <v>112</v>
      </c>
      <c r="D63" s="5">
        <v>10</v>
      </c>
      <c r="E63" s="59" t="s">
        <v>110</v>
      </c>
      <c r="F63" s="60">
        <v>4</v>
      </c>
      <c r="G63" s="65">
        <v>73538</v>
      </c>
      <c r="H63" s="2">
        <v>294152</v>
      </c>
    </row>
    <row r="64" spans="1:8">
      <c r="A64" s="111" t="s">
        <v>113</v>
      </c>
      <c r="B64" s="111"/>
      <c r="C64" s="17" t="s">
        <v>114</v>
      </c>
      <c r="D64" s="5">
        <v>453</v>
      </c>
      <c r="E64" s="59" t="s">
        <v>110</v>
      </c>
      <c r="F64" s="60">
        <v>50</v>
      </c>
      <c r="G64" s="66">
        <v>70000</v>
      </c>
      <c r="H64" s="2">
        <v>3500000</v>
      </c>
    </row>
    <row r="65" spans="1:8">
      <c r="A65" s="117" t="s">
        <v>25</v>
      </c>
      <c r="B65" s="117"/>
      <c r="C65" s="117"/>
      <c r="D65" s="117"/>
      <c r="E65" s="117"/>
      <c r="F65" s="64">
        <v>70</v>
      </c>
      <c r="G65" s="3">
        <v>340370</v>
      </c>
      <c r="H65" s="3">
        <v>4682684</v>
      </c>
    </row>
    <row r="66" spans="1:8">
      <c r="A66" s="118" t="s">
        <v>115</v>
      </c>
      <c r="B66" s="118"/>
      <c r="C66" s="118"/>
      <c r="D66" s="118"/>
      <c r="E66" s="118"/>
      <c r="F66" s="118"/>
      <c r="G66" s="118"/>
      <c r="H66" s="118"/>
    </row>
    <row r="67" spans="1:8">
      <c r="A67" s="120" t="s">
        <v>116</v>
      </c>
      <c r="B67" s="120"/>
      <c r="C67" s="35" t="s">
        <v>117</v>
      </c>
      <c r="D67" s="36">
        <v>11</v>
      </c>
      <c r="E67" s="37" t="s">
        <v>39</v>
      </c>
      <c r="F67" s="53">
        <v>9</v>
      </c>
      <c r="G67" s="38">
        <v>191250</v>
      </c>
      <c r="H67" s="38">
        <v>1721250</v>
      </c>
    </row>
    <row r="68" spans="1:8">
      <c r="A68" s="103" t="s">
        <v>118</v>
      </c>
      <c r="B68" s="103"/>
      <c r="C68" s="35" t="s">
        <v>119</v>
      </c>
      <c r="D68" s="36">
        <v>11</v>
      </c>
      <c r="E68" s="37" t="s">
        <v>29</v>
      </c>
      <c r="F68" s="53">
        <v>9</v>
      </c>
      <c r="G68" s="38">
        <v>188750</v>
      </c>
      <c r="H68" s="38">
        <v>1698750</v>
      </c>
    </row>
    <row r="69" spans="1:8">
      <c r="A69" s="104" t="s">
        <v>120</v>
      </c>
      <c r="B69" s="105"/>
      <c r="C69" s="35" t="s">
        <v>121</v>
      </c>
      <c r="D69" s="36"/>
      <c r="E69" s="37" t="s">
        <v>29</v>
      </c>
      <c r="F69" s="36">
        <v>900</v>
      </c>
      <c r="G69" s="38">
        <v>177000.6</v>
      </c>
      <c r="H69" s="38">
        <v>159300540</v>
      </c>
    </row>
    <row r="70" spans="1:8">
      <c r="A70" s="117" t="s">
        <v>25</v>
      </c>
      <c r="B70" s="117"/>
      <c r="C70" s="117"/>
      <c r="D70" s="117"/>
      <c r="E70" s="117"/>
      <c r="F70" s="39">
        <v>918</v>
      </c>
      <c r="G70" s="3">
        <v>557000.6</v>
      </c>
      <c r="H70" s="3">
        <v>162720540</v>
      </c>
    </row>
    <row r="71" spans="1:8">
      <c r="A71" s="122" t="s">
        <v>122</v>
      </c>
      <c r="B71" s="122"/>
      <c r="C71" s="122"/>
      <c r="D71" s="122"/>
      <c r="E71" s="122"/>
      <c r="F71" s="122"/>
      <c r="G71" s="122"/>
      <c r="H71" s="122"/>
    </row>
    <row r="72" spans="1:8">
      <c r="A72" s="117" t="s">
        <v>25</v>
      </c>
      <c r="B72" s="117"/>
      <c r="C72" s="117"/>
      <c r="D72" s="117"/>
      <c r="E72" s="117"/>
      <c r="F72" s="40">
        <v>2976</v>
      </c>
      <c r="G72" s="3">
        <v>1824883.6</v>
      </c>
      <c r="H72" s="3">
        <v>209639910</v>
      </c>
    </row>
    <row r="73" spans="1:8">
      <c r="A73" s="46"/>
      <c r="B73" s="46"/>
      <c r="C73" s="30"/>
      <c r="D73" s="30"/>
      <c r="E73" s="32"/>
      <c r="F73" s="21"/>
      <c r="G73" s="31"/>
      <c r="H73" s="31"/>
    </row>
    <row r="74" spans="1:8">
      <c r="A74" s="99" t="s">
        <v>123</v>
      </c>
      <c r="B74" s="99"/>
      <c r="C74" s="99"/>
      <c r="D74" s="99"/>
      <c r="E74" s="99"/>
      <c r="F74" s="99"/>
      <c r="G74" s="99"/>
      <c r="H74" s="99"/>
    </row>
    <row r="75" spans="1:8">
      <c r="A75" s="15"/>
      <c r="B75" s="15"/>
      <c r="C75" s="16"/>
      <c r="D75" s="21"/>
      <c r="E75" s="16"/>
      <c r="F75" s="16"/>
      <c r="G75" s="15"/>
      <c r="H75" s="15"/>
    </row>
    <row r="76" spans="1:8">
      <c r="A76" s="33"/>
      <c r="B76" s="33"/>
      <c r="C76" s="23"/>
      <c r="D76" s="30"/>
      <c r="E76" s="121" t="s">
        <v>146</v>
      </c>
      <c r="F76" s="121"/>
      <c r="G76" s="121"/>
      <c r="H76" s="121"/>
    </row>
    <row r="77" spans="1:8">
      <c r="A77" s="121" t="s">
        <v>163</v>
      </c>
      <c r="B77" s="121"/>
      <c r="C77" s="121"/>
      <c r="D77" s="30"/>
      <c r="E77" s="121" t="s">
        <v>126</v>
      </c>
      <c r="F77" s="121"/>
      <c r="G77" s="121"/>
      <c r="H77" s="121"/>
    </row>
    <row r="78" spans="1:8">
      <c r="A78" s="18"/>
      <c r="B78" s="18"/>
      <c r="C78" s="22"/>
      <c r="D78" s="30"/>
      <c r="E78" s="34"/>
      <c r="F78" s="14"/>
      <c r="G78" s="4"/>
      <c r="H78" s="4"/>
    </row>
    <row r="79" spans="1:8">
      <c r="A79" s="18"/>
      <c r="B79" s="18"/>
      <c r="C79" s="22"/>
      <c r="D79" s="30"/>
      <c r="E79" s="34"/>
      <c r="F79" s="14"/>
      <c r="G79" s="4"/>
      <c r="H79" s="4"/>
    </row>
    <row r="80" spans="1:8">
      <c r="A80" s="18"/>
      <c r="B80" s="18"/>
      <c r="C80" s="22"/>
      <c r="D80" s="30"/>
      <c r="E80" s="34"/>
      <c r="F80" s="14"/>
      <c r="G80" s="4"/>
      <c r="H80" s="4"/>
    </row>
    <row r="81" spans="1:8">
      <c r="A81" s="123" t="s">
        <v>165</v>
      </c>
      <c r="B81" s="123"/>
      <c r="C81" s="123"/>
      <c r="D81" s="30"/>
      <c r="E81" s="123" t="s">
        <v>128</v>
      </c>
      <c r="F81" s="123"/>
      <c r="G81" s="123"/>
      <c r="H81" s="123"/>
    </row>
    <row r="82" spans="1:8">
      <c r="A82" s="121" t="s">
        <v>164</v>
      </c>
      <c r="B82" s="121"/>
      <c r="C82" s="121"/>
      <c r="D82" s="30"/>
      <c r="E82" s="121" t="s">
        <v>130</v>
      </c>
      <c r="F82" s="121"/>
      <c r="G82" s="121"/>
      <c r="H82" s="121"/>
    </row>
    <row r="83" spans="1:8">
      <c r="A83" s="33"/>
      <c r="B83" s="33"/>
      <c r="C83" s="23"/>
      <c r="D83" s="30"/>
      <c r="E83" s="34"/>
      <c r="F83" s="14"/>
      <c r="G83" s="4"/>
      <c r="H83" s="33"/>
    </row>
    <row r="84" spans="1:8">
      <c r="A84" s="121" t="s">
        <v>131</v>
      </c>
      <c r="B84" s="121"/>
      <c r="C84" s="121"/>
      <c r="D84" s="121"/>
      <c r="E84" s="121"/>
      <c r="F84" s="121"/>
      <c r="G84" s="121"/>
      <c r="H84" s="121"/>
    </row>
    <row r="85" spans="1:8">
      <c r="A85" s="121" t="s">
        <v>167</v>
      </c>
      <c r="B85" s="121"/>
      <c r="C85" s="121"/>
      <c r="D85" s="121"/>
      <c r="E85" s="121"/>
      <c r="F85" s="121"/>
      <c r="G85" s="121"/>
      <c r="H85" s="121"/>
    </row>
    <row r="86" spans="1:8">
      <c r="A86" s="4"/>
      <c r="B86" s="4"/>
      <c r="C86" s="34"/>
      <c r="D86" s="30"/>
      <c r="E86" s="34"/>
      <c r="F86" s="14"/>
      <c r="G86" s="4"/>
      <c r="H86" s="4"/>
    </row>
    <row r="87" spans="1:8">
      <c r="A87" s="4"/>
      <c r="B87" s="4"/>
      <c r="C87" s="34"/>
      <c r="D87" s="30"/>
      <c r="E87" s="34"/>
      <c r="F87" s="14"/>
      <c r="G87" s="4"/>
      <c r="H87" s="4"/>
    </row>
    <row r="88" spans="1:8">
      <c r="A88" s="4"/>
      <c r="B88" s="4"/>
      <c r="C88" s="34"/>
      <c r="D88" s="30"/>
      <c r="E88" s="34"/>
      <c r="F88" s="14"/>
      <c r="G88" s="4"/>
      <c r="H88" s="4"/>
    </row>
    <row r="89" spans="1:8">
      <c r="A89" s="33"/>
      <c r="B89" s="33"/>
      <c r="C89" s="23"/>
      <c r="D89" s="30"/>
      <c r="E89" s="34"/>
      <c r="F89" s="13"/>
      <c r="G89" s="33"/>
      <c r="H89" s="33"/>
    </row>
    <row r="90" spans="1:8">
      <c r="A90" s="123" t="s">
        <v>166</v>
      </c>
      <c r="B90" s="123"/>
      <c r="C90" s="123"/>
      <c r="D90" s="123"/>
      <c r="E90" s="123"/>
      <c r="F90" s="123"/>
      <c r="G90" s="123"/>
      <c r="H90" s="123"/>
    </row>
    <row r="91" spans="1:8">
      <c r="A91" s="121" t="s">
        <v>160</v>
      </c>
      <c r="B91" s="121"/>
      <c r="C91" s="121"/>
      <c r="D91" s="121"/>
      <c r="E91" s="121"/>
      <c r="F91" s="121"/>
      <c r="G91" s="121"/>
      <c r="H91" s="121"/>
    </row>
  </sheetData>
  <mergeCells count="81">
    <mergeCell ref="A90:H90"/>
    <mergeCell ref="A91:H91"/>
    <mergeCell ref="A81:C81"/>
    <mergeCell ref="E81:H81"/>
    <mergeCell ref="A82:C82"/>
    <mergeCell ref="E82:H82"/>
    <mergeCell ref="A84:H84"/>
    <mergeCell ref="A85:H85"/>
    <mergeCell ref="A77:C77"/>
    <mergeCell ref="E77:H77"/>
    <mergeCell ref="A64:B64"/>
    <mergeCell ref="A65:E65"/>
    <mergeCell ref="A66:H66"/>
    <mergeCell ref="A67:B67"/>
    <mergeCell ref="A68:B68"/>
    <mergeCell ref="A69:B69"/>
    <mergeCell ref="A70:E70"/>
    <mergeCell ref="A71:H71"/>
    <mergeCell ref="A72:E72"/>
    <mergeCell ref="A74:H74"/>
    <mergeCell ref="E76:H76"/>
    <mergeCell ref="A63:B63"/>
    <mergeCell ref="A52:B52"/>
    <mergeCell ref="A53:B53"/>
    <mergeCell ref="A54:B54"/>
    <mergeCell ref="A55:B55"/>
    <mergeCell ref="A56:B56"/>
    <mergeCell ref="A57:E57"/>
    <mergeCell ref="A58:H58"/>
    <mergeCell ref="A59:B59"/>
    <mergeCell ref="A60:B60"/>
    <mergeCell ref="A61:B61"/>
    <mergeCell ref="A62:B62"/>
    <mergeCell ref="A51:B51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39:B39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27:B27"/>
    <mergeCell ref="A16:H16"/>
    <mergeCell ref="A17:B17"/>
    <mergeCell ref="A18:B18"/>
    <mergeCell ref="A19:B19"/>
    <mergeCell ref="A20:E20"/>
    <mergeCell ref="A21:H21"/>
    <mergeCell ref="A22:B22"/>
    <mergeCell ref="A23:B23"/>
    <mergeCell ref="A24:B24"/>
    <mergeCell ref="A25:B25"/>
    <mergeCell ref="A26:B26"/>
    <mergeCell ref="A15:B15"/>
    <mergeCell ref="A1:H1"/>
    <mergeCell ref="A2:H2"/>
    <mergeCell ref="A3:H3"/>
    <mergeCell ref="A4:H4"/>
    <mergeCell ref="A5:H5"/>
    <mergeCell ref="A8:H8"/>
    <mergeCell ref="A9:H9"/>
    <mergeCell ref="A11:H11"/>
    <mergeCell ref="A12:H12"/>
    <mergeCell ref="A13:H13"/>
    <mergeCell ref="A14:B14"/>
  </mergeCells>
  <hyperlinks>
    <hyperlink ref="A5" r:id="rId1" display="mailto:dlhbanjarmasin@gmail.com"/>
  </hyperlinks>
  <pageMargins left="0.25" right="0.25" top="0.75" bottom="0.75" header="0.3" footer="0.3"/>
  <pageSetup paperSize="10000" scale="99" orientation="portrait" horizontalDpi="0" verticalDpi="0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85"/>
  <sheetViews>
    <sheetView view="pageBreakPreview" topLeftCell="A73" zoomScaleNormal="100" zoomScaleSheetLayoutView="100" workbookViewId="0">
      <selection activeCell="A14" sqref="A14:B14"/>
    </sheetView>
  </sheetViews>
  <sheetFormatPr defaultRowHeight="14.5"/>
  <cols>
    <col min="1" max="2" width="9.36328125" customWidth="1"/>
    <col min="3" max="3" width="31" customWidth="1"/>
    <col min="7" max="7" width="12.453125" customWidth="1"/>
    <col min="8" max="8" width="15.26953125" customWidth="1"/>
  </cols>
  <sheetData>
    <row r="1" spans="1:8" ht="17.5">
      <c r="A1" s="92" t="s">
        <v>0</v>
      </c>
      <c r="B1" s="92"/>
      <c r="C1" s="92"/>
      <c r="D1" s="92"/>
      <c r="E1" s="92"/>
      <c r="F1" s="92"/>
      <c r="G1" s="92"/>
      <c r="H1" s="92"/>
    </row>
    <row r="2" spans="1:8" ht="22">
      <c r="A2" s="93" t="s">
        <v>1</v>
      </c>
      <c r="B2" s="93"/>
      <c r="C2" s="93"/>
      <c r="D2" s="93"/>
      <c r="E2" s="93"/>
      <c r="F2" s="93"/>
      <c r="G2" s="93"/>
      <c r="H2" s="93"/>
    </row>
    <row r="3" spans="1:8">
      <c r="A3" s="94" t="s">
        <v>2</v>
      </c>
      <c r="B3" s="94"/>
      <c r="C3" s="94"/>
      <c r="D3" s="94"/>
      <c r="E3" s="94"/>
      <c r="F3" s="94"/>
      <c r="G3" s="94"/>
      <c r="H3" s="94"/>
    </row>
    <row r="4" spans="1:8">
      <c r="A4" s="94" t="s">
        <v>3</v>
      </c>
      <c r="B4" s="94"/>
      <c r="C4" s="94"/>
      <c r="D4" s="94"/>
      <c r="E4" s="94"/>
      <c r="F4" s="94"/>
      <c r="G4" s="94"/>
      <c r="H4" s="94"/>
    </row>
    <row r="5" spans="1:8">
      <c r="A5" s="95" t="s">
        <v>4</v>
      </c>
      <c r="B5" s="95"/>
      <c r="C5" s="95"/>
      <c r="D5" s="95"/>
      <c r="E5" s="95"/>
      <c r="F5" s="95"/>
      <c r="G5" s="95"/>
      <c r="H5" s="95"/>
    </row>
    <row r="6" spans="1:8" ht="15" thickBot="1">
      <c r="A6" s="7"/>
      <c r="B6" s="8"/>
      <c r="C6" s="9"/>
      <c r="D6" s="9"/>
      <c r="E6" s="9"/>
      <c r="F6" s="55"/>
      <c r="G6" s="8"/>
      <c r="H6" s="8"/>
    </row>
    <row r="7" spans="1:8" ht="15" thickTop="1">
      <c r="A7" s="10"/>
      <c r="B7" s="11"/>
      <c r="C7" s="6"/>
      <c r="D7" s="6"/>
      <c r="E7" s="6"/>
      <c r="F7" s="47"/>
      <c r="G7" s="11"/>
      <c r="H7" s="11"/>
    </row>
    <row r="8" spans="1:8">
      <c r="A8" s="96" t="s">
        <v>5</v>
      </c>
      <c r="B8" s="96"/>
      <c r="C8" s="96"/>
      <c r="D8" s="96"/>
      <c r="E8" s="96"/>
      <c r="F8" s="96"/>
      <c r="G8" s="96"/>
      <c r="H8" s="96"/>
    </row>
    <row r="9" spans="1:8">
      <c r="A9" s="97" t="s">
        <v>185</v>
      </c>
      <c r="B9" s="97"/>
      <c r="C9" s="97"/>
      <c r="D9" s="97"/>
      <c r="E9" s="97"/>
      <c r="F9" s="97"/>
      <c r="G9" s="97"/>
      <c r="H9" s="97"/>
    </row>
    <row r="10" spans="1:8">
      <c r="A10" s="12"/>
      <c r="B10" s="12"/>
      <c r="C10" s="13"/>
      <c r="D10" s="13"/>
      <c r="E10" s="14"/>
      <c r="F10" s="13"/>
      <c r="G10" s="12"/>
      <c r="H10" s="12"/>
    </row>
    <row r="11" spans="1:8">
      <c r="A11" s="98" t="s">
        <v>147</v>
      </c>
      <c r="B11" s="98"/>
      <c r="C11" s="98"/>
      <c r="D11" s="98"/>
      <c r="E11" s="98"/>
      <c r="F11" s="98"/>
      <c r="G11" s="98"/>
      <c r="H11" s="98"/>
    </row>
    <row r="12" spans="1:8">
      <c r="A12" s="99" t="s">
        <v>8</v>
      </c>
      <c r="B12" s="99"/>
      <c r="C12" s="99"/>
      <c r="D12" s="99"/>
      <c r="E12" s="99"/>
      <c r="F12" s="99"/>
      <c r="G12" s="99"/>
      <c r="H12" s="99"/>
    </row>
    <row r="13" spans="1:8">
      <c r="A13" s="128" t="s">
        <v>192</v>
      </c>
      <c r="B13" s="128"/>
      <c r="C13" s="128"/>
      <c r="D13" s="128"/>
      <c r="E13" s="128"/>
      <c r="F13" s="128"/>
      <c r="G13" s="128"/>
      <c r="H13" s="128"/>
    </row>
    <row r="14" spans="1:8" s="29" customFormat="1" ht="34.5">
      <c r="A14" s="127" t="s">
        <v>10</v>
      </c>
      <c r="B14" s="127"/>
      <c r="C14" s="78" t="s">
        <v>11</v>
      </c>
      <c r="D14" s="79" t="s">
        <v>12</v>
      </c>
      <c r="E14" s="80" t="s">
        <v>13</v>
      </c>
      <c r="F14" s="81" t="s">
        <v>14</v>
      </c>
      <c r="G14" s="82" t="s">
        <v>15</v>
      </c>
      <c r="H14" s="82" t="s">
        <v>16</v>
      </c>
    </row>
    <row r="15" spans="1:8" s="29" customFormat="1" ht="12">
      <c r="A15" s="127">
        <v>1</v>
      </c>
      <c r="B15" s="127"/>
      <c r="C15" s="78">
        <v>2</v>
      </c>
      <c r="D15" s="78">
        <v>3</v>
      </c>
      <c r="E15" s="81">
        <v>4</v>
      </c>
      <c r="F15" s="81">
        <v>5</v>
      </c>
      <c r="G15" s="82">
        <v>6</v>
      </c>
      <c r="H15" s="82">
        <v>7</v>
      </c>
    </row>
    <row r="16" spans="1:8" s="29" customFormat="1" ht="12">
      <c r="A16" s="124" t="s">
        <v>17</v>
      </c>
      <c r="B16" s="124"/>
      <c r="C16" s="124"/>
      <c r="D16" s="124"/>
      <c r="E16" s="124"/>
      <c r="F16" s="124"/>
      <c r="G16" s="124"/>
      <c r="H16" s="124"/>
    </row>
    <row r="17" spans="1:8" s="29" customFormat="1" ht="12">
      <c r="A17" s="125"/>
      <c r="B17" s="125"/>
      <c r="C17" s="68"/>
      <c r="D17" s="68"/>
      <c r="E17" s="68"/>
      <c r="F17" s="68"/>
      <c r="G17" s="68"/>
      <c r="H17" s="68"/>
    </row>
    <row r="18" spans="1:8" s="29" customFormat="1" ht="12">
      <c r="A18" s="126" t="s">
        <v>25</v>
      </c>
      <c r="B18" s="126"/>
      <c r="C18" s="126"/>
      <c r="D18" s="126"/>
      <c r="E18" s="126"/>
      <c r="F18" s="83"/>
      <c r="G18" s="84"/>
      <c r="H18" s="85"/>
    </row>
    <row r="19" spans="1:8" s="29" customFormat="1" ht="12">
      <c r="A19" s="129" t="s">
        <v>26</v>
      </c>
      <c r="B19" s="129"/>
      <c r="C19" s="129"/>
      <c r="D19" s="129"/>
      <c r="E19" s="129"/>
      <c r="F19" s="129"/>
      <c r="G19" s="129"/>
      <c r="H19" s="129"/>
    </row>
    <row r="20" spans="1:8" s="29" customFormat="1" ht="12">
      <c r="A20" s="130" t="s">
        <v>34</v>
      </c>
      <c r="B20" s="130"/>
      <c r="C20" s="69" t="s">
        <v>35</v>
      </c>
      <c r="D20" s="70">
        <v>51</v>
      </c>
      <c r="E20" s="71" t="s">
        <v>36</v>
      </c>
      <c r="F20" s="70">
        <v>50</v>
      </c>
      <c r="G20" s="48">
        <v>1800</v>
      </c>
      <c r="H20" s="72">
        <f t="shared" ref="H20:H48" si="0">SUM(F20*G20)</f>
        <v>90000</v>
      </c>
    </row>
    <row r="21" spans="1:8" s="29" customFormat="1" ht="12">
      <c r="A21" s="130" t="s">
        <v>42</v>
      </c>
      <c r="B21" s="130"/>
      <c r="C21" s="69" t="s">
        <v>43</v>
      </c>
      <c r="D21" s="70">
        <v>50</v>
      </c>
      <c r="E21" s="71" t="s">
        <v>29</v>
      </c>
      <c r="F21" s="70">
        <v>50</v>
      </c>
      <c r="G21" s="48">
        <v>26000</v>
      </c>
      <c r="H21" s="72">
        <f t="shared" si="0"/>
        <v>1300000</v>
      </c>
    </row>
    <row r="22" spans="1:8" s="29" customFormat="1" ht="12">
      <c r="A22" s="130" t="s">
        <v>42</v>
      </c>
      <c r="B22" s="130"/>
      <c r="C22" s="69" t="s">
        <v>189</v>
      </c>
      <c r="D22" s="70">
        <v>50</v>
      </c>
      <c r="E22" s="71" t="s">
        <v>29</v>
      </c>
      <c r="F22" s="70">
        <v>5</v>
      </c>
      <c r="G22" s="48">
        <v>26000</v>
      </c>
      <c r="H22" s="72">
        <f t="shared" si="0"/>
        <v>130000</v>
      </c>
    </row>
    <row r="23" spans="1:8" s="29" customFormat="1" ht="12">
      <c r="A23" s="130" t="s">
        <v>44</v>
      </c>
      <c r="B23" s="130"/>
      <c r="C23" s="69" t="s">
        <v>45</v>
      </c>
      <c r="D23" s="70">
        <v>25</v>
      </c>
      <c r="E23" s="71" t="s">
        <v>29</v>
      </c>
      <c r="F23" s="70">
        <v>7</v>
      </c>
      <c r="G23" s="48">
        <v>4700</v>
      </c>
      <c r="H23" s="72">
        <f t="shared" si="0"/>
        <v>32900</v>
      </c>
    </row>
    <row r="24" spans="1:8" s="29" customFormat="1" ht="12">
      <c r="A24" s="130" t="s">
        <v>50</v>
      </c>
      <c r="B24" s="130"/>
      <c r="C24" s="69" t="s">
        <v>51</v>
      </c>
      <c r="D24" s="70">
        <v>50</v>
      </c>
      <c r="E24" s="71" t="s">
        <v>36</v>
      </c>
      <c r="F24" s="70">
        <v>5</v>
      </c>
      <c r="G24" s="48">
        <v>4500</v>
      </c>
      <c r="H24" s="72">
        <f t="shared" si="0"/>
        <v>22500</v>
      </c>
    </row>
    <row r="25" spans="1:8" s="29" customFormat="1" ht="12">
      <c r="A25" s="130" t="s">
        <v>176</v>
      </c>
      <c r="B25" s="130"/>
      <c r="C25" s="69" t="s">
        <v>175</v>
      </c>
      <c r="D25" s="70">
        <v>24</v>
      </c>
      <c r="E25" s="71" t="s">
        <v>29</v>
      </c>
      <c r="F25" s="70">
        <v>8</v>
      </c>
      <c r="G25" s="48">
        <v>4000</v>
      </c>
      <c r="H25" s="72">
        <f t="shared" si="0"/>
        <v>32000</v>
      </c>
    </row>
    <row r="26" spans="1:8" s="29" customFormat="1" ht="12">
      <c r="A26" s="130" t="s">
        <v>56</v>
      </c>
      <c r="B26" s="130"/>
      <c r="C26" s="69" t="s">
        <v>57</v>
      </c>
      <c r="D26" s="70">
        <v>25</v>
      </c>
      <c r="E26" s="71" t="s">
        <v>36</v>
      </c>
      <c r="F26" s="70">
        <v>24</v>
      </c>
      <c r="G26" s="48">
        <v>19000</v>
      </c>
      <c r="H26" s="72">
        <f t="shared" si="0"/>
        <v>456000</v>
      </c>
    </row>
    <row r="27" spans="1:8" s="29" customFormat="1" ht="12">
      <c r="A27" s="130" t="s">
        <v>58</v>
      </c>
      <c r="B27" s="130"/>
      <c r="C27" s="69" t="s">
        <v>59</v>
      </c>
      <c r="D27" s="70">
        <v>25</v>
      </c>
      <c r="E27" s="71" t="s">
        <v>36</v>
      </c>
      <c r="F27" s="70">
        <v>23</v>
      </c>
      <c r="G27" s="48">
        <v>13500</v>
      </c>
      <c r="H27" s="72">
        <f t="shared" si="0"/>
        <v>310500</v>
      </c>
    </row>
    <row r="28" spans="1:8" s="29" customFormat="1" ht="12">
      <c r="A28" s="130" t="s">
        <v>60</v>
      </c>
      <c r="B28" s="130"/>
      <c r="C28" s="69" t="s">
        <v>61</v>
      </c>
      <c r="D28" s="70">
        <v>59</v>
      </c>
      <c r="E28" s="71" t="s">
        <v>36</v>
      </c>
      <c r="F28" s="70">
        <v>58</v>
      </c>
      <c r="G28" s="48">
        <v>3000</v>
      </c>
      <c r="H28" s="72">
        <f t="shared" si="0"/>
        <v>174000</v>
      </c>
    </row>
    <row r="29" spans="1:8" s="29" customFormat="1" ht="12">
      <c r="A29" s="131" t="s">
        <v>64</v>
      </c>
      <c r="B29" s="131"/>
      <c r="C29" s="73" t="s">
        <v>65</v>
      </c>
      <c r="D29" s="70">
        <v>26</v>
      </c>
      <c r="E29" s="71" t="s">
        <v>36</v>
      </c>
      <c r="F29" s="70">
        <v>24</v>
      </c>
      <c r="G29" s="48">
        <v>7500</v>
      </c>
      <c r="H29" s="72">
        <f t="shared" si="0"/>
        <v>180000</v>
      </c>
    </row>
    <row r="30" spans="1:8" s="29" customFormat="1" ht="12">
      <c r="A30" s="130" t="s">
        <v>66</v>
      </c>
      <c r="B30" s="130"/>
      <c r="C30" s="74" t="s">
        <v>67</v>
      </c>
      <c r="D30" s="70">
        <v>26</v>
      </c>
      <c r="E30" s="71" t="s">
        <v>36</v>
      </c>
      <c r="F30" s="70">
        <v>25</v>
      </c>
      <c r="G30" s="48">
        <v>5000</v>
      </c>
      <c r="H30" s="72">
        <f t="shared" si="0"/>
        <v>125000</v>
      </c>
    </row>
    <row r="31" spans="1:8" s="29" customFormat="1" ht="12">
      <c r="A31" s="132" t="s">
        <v>70</v>
      </c>
      <c r="B31" s="132"/>
      <c r="C31" s="69" t="s">
        <v>71</v>
      </c>
      <c r="D31" s="70">
        <v>11</v>
      </c>
      <c r="E31" s="71" t="s">
        <v>29</v>
      </c>
      <c r="F31" s="70">
        <v>11</v>
      </c>
      <c r="G31" s="48">
        <v>11000</v>
      </c>
      <c r="H31" s="72">
        <f t="shared" si="0"/>
        <v>121000</v>
      </c>
    </row>
    <row r="32" spans="1:8" s="29" customFormat="1" ht="12">
      <c r="A32" s="130" t="s">
        <v>72</v>
      </c>
      <c r="B32" s="130"/>
      <c r="C32" s="69" t="s">
        <v>73</v>
      </c>
      <c r="D32" s="70">
        <v>24</v>
      </c>
      <c r="E32" s="71" t="s">
        <v>29</v>
      </c>
      <c r="F32" s="70">
        <v>6</v>
      </c>
      <c r="G32" s="48">
        <v>11100</v>
      </c>
      <c r="H32" s="72">
        <f t="shared" si="0"/>
        <v>66600</v>
      </c>
    </row>
    <row r="33" spans="1:8" s="29" customFormat="1" ht="12">
      <c r="A33" s="130" t="s">
        <v>74</v>
      </c>
      <c r="B33" s="130"/>
      <c r="C33" s="69" t="s">
        <v>169</v>
      </c>
      <c r="D33" s="70">
        <v>21</v>
      </c>
      <c r="E33" s="71" t="s">
        <v>29</v>
      </c>
      <c r="F33" s="70">
        <v>2</v>
      </c>
      <c r="G33" s="48">
        <v>18000</v>
      </c>
      <c r="H33" s="72">
        <f t="shared" si="0"/>
        <v>36000</v>
      </c>
    </row>
    <row r="34" spans="1:8" s="29" customFormat="1" ht="12">
      <c r="A34" s="130" t="s">
        <v>177</v>
      </c>
      <c r="B34" s="130"/>
      <c r="C34" s="69" t="s">
        <v>168</v>
      </c>
      <c r="D34" s="70">
        <v>50</v>
      </c>
      <c r="E34" s="71" t="s">
        <v>29</v>
      </c>
      <c r="F34" s="70">
        <v>5</v>
      </c>
      <c r="G34" s="48">
        <v>5500</v>
      </c>
      <c r="H34" s="72">
        <f t="shared" si="0"/>
        <v>27500</v>
      </c>
    </row>
    <row r="35" spans="1:8" s="29" customFormat="1" ht="12">
      <c r="A35" s="130" t="s">
        <v>178</v>
      </c>
      <c r="B35" s="130"/>
      <c r="C35" s="69" t="s">
        <v>170</v>
      </c>
      <c r="D35" s="70">
        <v>20</v>
      </c>
      <c r="E35" s="71" t="s">
        <v>29</v>
      </c>
      <c r="F35" s="70">
        <v>11</v>
      </c>
      <c r="G35" s="48">
        <v>4000</v>
      </c>
      <c r="H35" s="72">
        <f t="shared" si="0"/>
        <v>44000</v>
      </c>
    </row>
    <row r="36" spans="1:8" s="29" customFormat="1" ht="12">
      <c r="A36" s="130" t="s">
        <v>81</v>
      </c>
      <c r="B36" s="130"/>
      <c r="C36" s="69" t="s">
        <v>82</v>
      </c>
      <c r="D36" s="70">
        <v>11</v>
      </c>
      <c r="E36" s="71" t="s">
        <v>29</v>
      </c>
      <c r="F36" s="70">
        <v>2</v>
      </c>
      <c r="G36" s="48">
        <v>7500</v>
      </c>
      <c r="H36" s="72">
        <f t="shared" si="0"/>
        <v>15000</v>
      </c>
    </row>
    <row r="37" spans="1:8" s="29" customFormat="1" ht="12">
      <c r="A37" s="130" t="s">
        <v>83</v>
      </c>
      <c r="B37" s="130"/>
      <c r="C37" s="69" t="s">
        <v>84</v>
      </c>
      <c r="D37" s="70">
        <v>100</v>
      </c>
      <c r="E37" s="71" t="s">
        <v>36</v>
      </c>
      <c r="F37" s="70">
        <v>100</v>
      </c>
      <c r="G37" s="72">
        <v>4125</v>
      </c>
      <c r="H37" s="72">
        <f t="shared" si="0"/>
        <v>412500</v>
      </c>
    </row>
    <row r="38" spans="1:8" s="29" customFormat="1" ht="12">
      <c r="A38" s="130" t="s">
        <v>85</v>
      </c>
      <c r="B38" s="130"/>
      <c r="C38" s="69" t="s">
        <v>86</v>
      </c>
      <c r="D38" s="70">
        <v>20</v>
      </c>
      <c r="E38" s="71" t="s">
        <v>36</v>
      </c>
      <c r="F38" s="70">
        <v>20</v>
      </c>
      <c r="G38" s="75">
        <v>85000</v>
      </c>
      <c r="H38" s="72">
        <f t="shared" si="0"/>
        <v>1700000</v>
      </c>
    </row>
    <row r="39" spans="1:8" s="29" customFormat="1" ht="12">
      <c r="A39" s="130" t="s">
        <v>87</v>
      </c>
      <c r="B39" s="130"/>
      <c r="C39" s="69" t="s">
        <v>88</v>
      </c>
      <c r="D39" s="70">
        <v>80</v>
      </c>
      <c r="E39" s="71" t="s">
        <v>36</v>
      </c>
      <c r="F39" s="70">
        <v>80</v>
      </c>
      <c r="G39" s="48">
        <v>23310</v>
      </c>
      <c r="H39" s="72">
        <f t="shared" si="0"/>
        <v>1864800</v>
      </c>
    </row>
    <row r="40" spans="1:8" s="29" customFormat="1" ht="12">
      <c r="A40" s="130" t="s">
        <v>180</v>
      </c>
      <c r="B40" s="130"/>
      <c r="C40" s="69" t="s">
        <v>171</v>
      </c>
      <c r="D40" s="70">
        <v>145</v>
      </c>
      <c r="E40" s="71" t="s">
        <v>29</v>
      </c>
      <c r="F40" s="70">
        <v>37</v>
      </c>
      <c r="G40" s="48">
        <v>6200</v>
      </c>
      <c r="H40" s="72">
        <f t="shared" si="0"/>
        <v>229400</v>
      </c>
    </row>
    <row r="41" spans="1:8" s="29" customFormat="1" ht="12">
      <c r="A41" s="136" t="s">
        <v>184</v>
      </c>
      <c r="B41" s="136"/>
      <c r="C41" s="69" t="s">
        <v>172</v>
      </c>
      <c r="D41" s="70">
        <v>150</v>
      </c>
      <c r="E41" s="71" t="s">
        <v>29</v>
      </c>
      <c r="F41" s="70">
        <v>150</v>
      </c>
      <c r="G41" s="48">
        <v>18500</v>
      </c>
      <c r="H41" s="72">
        <f t="shared" si="0"/>
        <v>2775000</v>
      </c>
    </row>
    <row r="42" spans="1:8" s="29" customFormat="1" ht="12">
      <c r="A42" s="130" t="s">
        <v>182</v>
      </c>
      <c r="B42" s="130"/>
      <c r="C42" s="74" t="s">
        <v>183</v>
      </c>
      <c r="D42" s="70">
        <v>20</v>
      </c>
      <c r="E42" s="71" t="s">
        <v>29</v>
      </c>
      <c r="F42" s="70">
        <v>2</v>
      </c>
      <c r="G42" s="48">
        <v>14500</v>
      </c>
      <c r="H42" s="72">
        <f t="shared" si="0"/>
        <v>29000</v>
      </c>
    </row>
    <row r="43" spans="1:8" s="29" customFormat="1" ht="12">
      <c r="A43" s="130" t="s">
        <v>93</v>
      </c>
      <c r="B43" s="130"/>
      <c r="C43" s="69" t="s">
        <v>188</v>
      </c>
      <c r="D43" s="70">
        <v>5</v>
      </c>
      <c r="E43" s="71" t="s">
        <v>29</v>
      </c>
      <c r="F43" s="70">
        <v>4</v>
      </c>
      <c r="G43" s="48">
        <v>8000</v>
      </c>
      <c r="H43" s="72">
        <f t="shared" si="0"/>
        <v>32000</v>
      </c>
    </row>
    <row r="44" spans="1:8" s="29" customFormat="1" ht="12">
      <c r="A44" s="130" t="s">
        <v>187</v>
      </c>
      <c r="B44" s="130"/>
      <c r="C44" s="69" t="s">
        <v>186</v>
      </c>
      <c r="D44" s="70">
        <v>5</v>
      </c>
      <c r="E44" s="71" t="s">
        <v>29</v>
      </c>
      <c r="F44" s="70">
        <v>1</v>
      </c>
      <c r="G44" s="48">
        <v>10000</v>
      </c>
      <c r="H44" s="72">
        <f t="shared" si="0"/>
        <v>10000</v>
      </c>
    </row>
    <row r="45" spans="1:8" s="29" customFormat="1" ht="12">
      <c r="A45" s="130" t="s">
        <v>95</v>
      </c>
      <c r="B45" s="130"/>
      <c r="C45" s="69" t="s">
        <v>96</v>
      </c>
      <c r="D45" s="70">
        <v>14</v>
      </c>
      <c r="E45" s="71" t="s">
        <v>29</v>
      </c>
      <c r="F45" s="70">
        <v>5</v>
      </c>
      <c r="G45" s="48">
        <v>10000</v>
      </c>
      <c r="H45" s="72">
        <f t="shared" si="0"/>
        <v>50000</v>
      </c>
    </row>
    <row r="46" spans="1:8" s="29" customFormat="1" ht="12">
      <c r="A46" s="130" t="s">
        <v>97</v>
      </c>
      <c r="B46" s="130"/>
      <c r="C46" s="69" t="s">
        <v>98</v>
      </c>
      <c r="D46" s="70">
        <v>12</v>
      </c>
      <c r="E46" s="71" t="s">
        <v>29</v>
      </c>
      <c r="F46" s="70">
        <v>3</v>
      </c>
      <c r="G46" s="48">
        <v>18300</v>
      </c>
      <c r="H46" s="72">
        <f t="shared" si="0"/>
        <v>54900</v>
      </c>
    </row>
    <row r="47" spans="1:8" s="29" customFormat="1" ht="12">
      <c r="A47" s="130" t="s">
        <v>99</v>
      </c>
      <c r="B47" s="130"/>
      <c r="C47" s="69" t="s">
        <v>100</v>
      </c>
      <c r="D47" s="70">
        <v>40</v>
      </c>
      <c r="E47" s="71" t="s">
        <v>80</v>
      </c>
      <c r="F47" s="70">
        <v>40</v>
      </c>
      <c r="G47" s="76">
        <v>50505</v>
      </c>
      <c r="H47" s="72">
        <f t="shared" si="0"/>
        <v>2020200</v>
      </c>
    </row>
    <row r="48" spans="1:8" s="29" customFormat="1" ht="12">
      <c r="A48" s="130" t="s">
        <v>179</v>
      </c>
      <c r="B48" s="130"/>
      <c r="C48" s="69" t="s">
        <v>173</v>
      </c>
      <c r="D48" s="70">
        <v>50</v>
      </c>
      <c r="E48" s="71" t="s">
        <v>29</v>
      </c>
      <c r="F48" s="70">
        <v>5</v>
      </c>
      <c r="G48" s="76">
        <v>19000</v>
      </c>
      <c r="H48" s="72">
        <f t="shared" si="0"/>
        <v>95000</v>
      </c>
    </row>
    <row r="49" spans="1:8" s="29" customFormat="1" ht="12">
      <c r="A49" s="126" t="s">
        <v>25</v>
      </c>
      <c r="B49" s="126"/>
      <c r="C49" s="126"/>
      <c r="D49" s="126"/>
      <c r="E49" s="126"/>
      <c r="F49" s="86">
        <f>SUM(F20:F48)</f>
        <v>763</v>
      </c>
      <c r="G49" s="87">
        <f>SUM(G20:G48)</f>
        <v>439540</v>
      </c>
      <c r="H49" s="87">
        <f>SUM(H20:H48)</f>
        <v>12435800</v>
      </c>
    </row>
    <row r="50" spans="1:8" s="29" customFormat="1" ht="12">
      <c r="A50" s="129" t="s">
        <v>101</v>
      </c>
      <c r="B50" s="129"/>
      <c r="C50" s="129"/>
      <c r="D50" s="129"/>
      <c r="E50" s="129"/>
      <c r="F50" s="129"/>
      <c r="G50" s="129"/>
      <c r="H50" s="129"/>
    </row>
    <row r="51" spans="1:8" s="29" customFormat="1" ht="12">
      <c r="A51" s="130" t="s">
        <v>102</v>
      </c>
      <c r="B51" s="130"/>
      <c r="C51" s="69" t="s">
        <v>103</v>
      </c>
      <c r="D51" s="70">
        <v>3</v>
      </c>
      <c r="E51" s="71" t="s">
        <v>36</v>
      </c>
      <c r="F51" s="70">
        <v>2</v>
      </c>
      <c r="G51" s="76">
        <v>23255</v>
      </c>
      <c r="H51" s="72">
        <f>SUM(F51*G51)</f>
        <v>46510</v>
      </c>
    </row>
    <row r="52" spans="1:8" s="29" customFormat="1" ht="12">
      <c r="A52" s="130" t="s">
        <v>104</v>
      </c>
      <c r="B52" s="130"/>
      <c r="C52" s="69" t="s">
        <v>105</v>
      </c>
      <c r="D52" s="70">
        <v>4</v>
      </c>
      <c r="E52" s="71" t="s">
        <v>36</v>
      </c>
      <c r="F52" s="70">
        <v>4</v>
      </c>
      <c r="G52" s="76">
        <v>25086</v>
      </c>
      <c r="H52" s="72">
        <f t="shared" ref="H52:H58" si="1">SUM(F52*G52)</f>
        <v>100344</v>
      </c>
    </row>
    <row r="53" spans="1:8" s="29" customFormat="1" ht="12">
      <c r="A53" s="130" t="s">
        <v>106</v>
      </c>
      <c r="B53" s="130"/>
      <c r="C53" s="69" t="s">
        <v>107</v>
      </c>
      <c r="D53" s="70">
        <v>4</v>
      </c>
      <c r="E53" s="71" t="s">
        <v>36</v>
      </c>
      <c r="F53" s="70">
        <v>3</v>
      </c>
      <c r="G53" s="76">
        <v>24032</v>
      </c>
      <c r="H53" s="72">
        <f t="shared" si="1"/>
        <v>72096</v>
      </c>
    </row>
    <row r="54" spans="1:8" s="29" customFormat="1" ht="12">
      <c r="A54" s="132" t="s">
        <v>108</v>
      </c>
      <c r="B54" s="132"/>
      <c r="C54" s="69" t="s">
        <v>109</v>
      </c>
      <c r="D54" s="70">
        <v>5</v>
      </c>
      <c r="E54" s="71" t="s">
        <v>110</v>
      </c>
      <c r="F54" s="70">
        <v>5</v>
      </c>
      <c r="G54" s="77">
        <v>124459</v>
      </c>
      <c r="H54" s="72">
        <f t="shared" si="1"/>
        <v>622295</v>
      </c>
    </row>
    <row r="55" spans="1:8" s="29" customFormat="1" ht="12">
      <c r="A55" s="132" t="s">
        <v>111</v>
      </c>
      <c r="B55" s="132"/>
      <c r="C55" s="69" t="s">
        <v>112</v>
      </c>
      <c r="D55" s="70">
        <v>20</v>
      </c>
      <c r="E55" s="71" t="s">
        <v>110</v>
      </c>
      <c r="F55" s="70">
        <v>4</v>
      </c>
      <c r="G55" s="76">
        <v>59000</v>
      </c>
      <c r="H55" s="72">
        <f t="shared" si="1"/>
        <v>236000</v>
      </c>
    </row>
    <row r="56" spans="1:8" s="29" customFormat="1" ht="12">
      <c r="A56" s="130" t="s">
        <v>113</v>
      </c>
      <c r="B56" s="130"/>
      <c r="C56" s="69" t="s">
        <v>114</v>
      </c>
      <c r="D56" s="70">
        <v>505</v>
      </c>
      <c r="E56" s="71" t="s">
        <v>110</v>
      </c>
      <c r="F56" s="70">
        <v>261</v>
      </c>
      <c r="G56" s="77">
        <v>57000</v>
      </c>
      <c r="H56" s="72">
        <f t="shared" si="1"/>
        <v>14877000</v>
      </c>
    </row>
    <row r="57" spans="1:8" s="29" customFormat="1" ht="12">
      <c r="A57" s="130" t="s">
        <v>181</v>
      </c>
      <c r="B57" s="130"/>
      <c r="C57" s="69" t="s">
        <v>174</v>
      </c>
      <c r="D57" s="70">
        <v>5</v>
      </c>
      <c r="E57" s="71" t="s">
        <v>110</v>
      </c>
      <c r="F57" s="70">
        <v>4</v>
      </c>
      <c r="G57" s="77">
        <v>82000</v>
      </c>
      <c r="H57" s="72">
        <f t="shared" si="1"/>
        <v>328000</v>
      </c>
    </row>
    <row r="58" spans="1:8" s="29" customFormat="1" ht="12">
      <c r="A58" s="130" t="s">
        <v>191</v>
      </c>
      <c r="B58" s="130"/>
      <c r="C58" s="69" t="s">
        <v>190</v>
      </c>
      <c r="D58" s="70">
        <v>1</v>
      </c>
      <c r="E58" s="71" t="s">
        <v>80</v>
      </c>
      <c r="F58" s="70">
        <v>1</v>
      </c>
      <c r="G58" s="77">
        <v>47500</v>
      </c>
      <c r="H58" s="72">
        <f t="shared" si="1"/>
        <v>47500</v>
      </c>
    </row>
    <row r="59" spans="1:8" s="29" customFormat="1" ht="12">
      <c r="A59" s="126" t="s">
        <v>25</v>
      </c>
      <c r="B59" s="126"/>
      <c r="C59" s="126"/>
      <c r="D59" s="126"/>
      <c r="E59" s="126"/>
      <c r="F59" s="86">
        <f>SUM(F51:F58)</f>
        <v>284</v>
      </c>
      <c r="G59" s="87">
        <f>SUM(G51:G58)</f>
        <v>442332</v>
      </c>
      <c r="H59" s="87">
        <f>SUM(H51:H58)</f>
        <v>16329745</v>
      </c>
    </row>
    <row r="60" spans="1:8" s="29" customFormat="1" ht="12">
      <c r="A60" s="129" t="s">
        <v>115</v>
      </c>
      <c r="B60" s="129"/>
      <c r="C60" s="129"/>
      <c r="D60" s="129"/>
      <c r="E60" s="129"/>
      <c r="F60" s="129"/>
      <c r="G60" s="129"/>
      <c r="H60" s="129"/>
    </row>
    <row r="61" spans="1:8" s="29" customFormat="1" ht="12">
      <c r="A61" s="135" t="s">
        <v>116</v>
      </c>
      <c r="B61" s="135"/>
      <c r="C61" s="69" t="s">
        <v>117</v>
      </c>
      <c r="D61" s="70">
        <v>9</v>
      </c>
      <c r="E61" s="71" t="s">
        <v>29</v>
      </c>
      <c r="F61" s="67">
        <v>9</v>
      </c>
      <c r="G61" s="88">
        <v>191250</v>
      </c>
      <c r="H61" s="89">
        <f>SUM(F61*G61)</f>
        <v>1721250</v>
      </c>
    </row>
    <row r="62" spans="1:8" s="29" customFormat="1" ht="12">
      <c r="A62" s="133" t="s">
        <v>118</v>
      </c>
      <c r="B62" s="133"/>
      <c r="C62" s="69" t="s">
        <v>119</v>
      </c>
      <c r="D62" s="70">
        <v>9</v>
      </c>
      <c r="E62" s="71" t="s">
        <v>29</v>
      </c>
      <c r="F62" s="67">
        <v>9</v>
      </c>
      <c r="G62" s="88">
        <v>188750</v>
      </c>
      <c r="H62" s="89">
        <f t="shared" ref="H62:H63" si="2">SUM(F62*G62)</f>
        <v>1698750</v>
      </c>
    </row>
    <row r="63" spans="1:8" s="29" customFormat="1" ht="12">
      <c r="A63" s="133" t="s">
        <v>120</v>
      </c>
      <c r="B63" s="133"/>
      <c r="C63" s="69" t="s">
        <v>121</v>
      </c>
      <c r="D63" s="70">
        <v>900</v>
      </c>
      <c r="E63" s="71" t="s">
        <v>29</v>
      </c>
      <c r="F63" s="70">
        <v>900</v>
      </c>
      <c r="G63" s="88">
        <v>177000.6</v>
      </c>
      <c r="H63" s="89">
        <f t="shared" si="2"/>
        <v>159300540</v>
      </c>
    </row>
    <row r="64" spans="1:8" s="29" customFormat="1" ht="12">
      <c r="A64" s="126" t="s">
        <v>25</v>
      </c>
      <c r="B64" s="126"/>
      <c r="C64" s="126"/>
      <c r="D64" s="126"/>
      <c r="E64" s="126"/>
      <c r="F64" s="86">
        <v>918</v>
      </c>
      <c r="G64" s="87">
        <f>SUM(G61:G63)</f>
        <v>557000.6</v>
      </c>
      <c r="H64" s="87">
        <f>SUM(H61:H63)</f>
        <v>162720540</v>
      </c>
    </row>
    <row r="65" spans="1:8" s="29" customFormat="1" ht="12">
      <c r="A65" s="134" t="s">
        <v>122</v>
      </c>
      <c r="B65" s="134"/>
      <c r="C65" s="134"/>
      <c r="D65" s="134"/>
      <c r="E65" s="134"/>
      <c r="F65" s="134"/>
      <c r="G65" s="134"/>
      <c r="H65" s="134"/>
    </row>
    <row r="66" spans="1:8" s="29" customFormat="1" ht="12">
      <c r="A66" s="126" t="s">
        <v>25</v>
      </c>
      <c r="B66" s="126"/>
      <c r="C66" s="126"/>
      <c r="D66" s="126"/>
      <c r="E66" s="126"/>
      <c r="F66" s="90">
        <f>SUM(F18,F49,F59,F64)</f>
        <v>1965</v>
      </c>
      <c r="G66" s="87">
        <f>SUM(G18,G49,G59,G64)</f>
        <v>1438872.6</v>
      </c>
      <c r="H66" s="87">
        <f>SUM(H18,H49,H59,H64)</f>
        <v>191486085</v>
      </c>
    </row>
    <row r="67" spans="1:8">
      <c r="A67" s="46"/>
      <c r="B67" s="46"/>
      <c r="C67" s="30"/>
      <c r="D67" s="30"/>
      <c r="E67" s="32"/>
      <c r="F67" s="21"/>
      <c r="G67" s="31"/>
      <c r="H67" s="31"/>
    </row>
    <row r="68" spans="1:8">
      <c r="A68" s="99" t="s">
        <v>123</v>
      </c>
      <c r="B68" s="99"/>
      <c r="C68" s="99"/>
      <c r="D68" s="99"/>
      <c r="E68" s="99"/>
      <c r="F68" s="99"/>
      <c r="G68" s="99"/>
      <c r="H68" s="99"/>
    </row>
    <row r="69" spans="1:8">
      <c r="A69" s="15"/>
      <c r="B69" s="15"/>
      <c r="C69" s="16"/>
      <c r="D69" s="21"/>
      <c r="E69" s="16"/>
      <c r="F69" s="16"/>
      <c r="G69" s="15"/>
      <c r="H69" s="15"/>
    </row>
    <row r="70" spans="1:8">
      <c r="A70" s="33"/>
      <c r="B70" s="33"/>
      <c r="C70" s="23"/>
      <c r="D70" s="30"/>
      <c r="E70" s="121" t="s">
        <v>148</v>
      </c>
      <c r="F70" s="121"/>
      <c r="G70" s="121"/>
      <c r="H70" s="121"/>
    </row>
    <row r="71" spans="1:8">
      <c r="A71" s="121" t="s">
        <v>163</v>
      </c>
      <c r="B71" s="121"/>
      <c r="C71" s="121"/>
      <c r="D71" s="30"/>
      <c r="E71" s="121" t="s">
        <v>126</v>
      </c>
      <c r="F71" s="121"/>
      <c r="G71" s="121"/>
      <c r="H71" s="121"/>
    </row>
    <row r="72" spans="1:8">
      <c r="A72" s="18"/>
      <c r="B72" s="18"/>
      <c r="C72" s="22"/>
      <c r="D72" s="30"/>
      <c r="E72" s="34"/>
      <c r="F72" s="14"/>
      <c r="G72" s="4"/>
      <c r="H72" s="4"/>
    </row>
    <row r="73" spans="1:8">
      <c r="A73" s="18"/>
      <c r="B73" s="18"/>
      <c r="C73" s="22"/>
      <c r="D73" s="30"/>
      <c r="E73" s="34"/>
      <c r="F73" s="14"/>
      <c r="G73" s="4"/>
      <c r="H73" s="4"/>
    </row>
    <row r="74" spans="1:8">
      <c r="A74" s="18"/>
      <c r="B74" s="18"/>
      <c r="C74" s="22"/>
      <c r="D74" s="30"/>
      <c r="E74" s="34"/>
      <c r="F74" s="14"/>
      <c r="G74" s="4"/>
      <c r="H74" s="4"/>
    </row>
    <row r="75" spans="1:8">
      <c r="A75" s="123" t="s">
        <v>165</v>
      </c>
      <c r="B75" s="123"/>
      <c r="C75" s="123"/>
      <c r="D75" s="30"/>
      <c r="E75" s="123" t="s">
        <v>128</v>
      </c>
      <c r="F75" s="123"/>
      <c r="G75" s="123"/>
      <c r="H75" s="123"/>
    </row>
    <row r="76" spans="1:8">
      <c r="A76" s="121" t="s">
        <v>164</v>
      </c>
      <c r="B76" s="121"/>
      <c r="C76" s="121"/>
      <c r="D76" s="30"/>
      <c r="E76" s="121" t="s">
        <v>130</v>
      </c>
      <c r="F76" s="121"/>
      <c r="G76" s="121"/>
      <c r="H76" s="121"/>
    </row>
    <row r="77" spans="1:8">
      <c r="A77" s="33"/>
      <c r="B77" s="33"/>
      <c r="C77" s="23"/>
      <c r="D77" s="30"/>
      <c r="E77" s="34"/>
      <c r="F77" s="14"/>
      <c r="G77" s="4"/>
      <c r="H77" s="33"/>
    </row>
    <row r="78" spans="1:8">
      <c r="A78" s="121" t="s">
        <v>131</v>
      </c>
      <c r="B78" s="121"/>
      <c r="C78" s="121"/>
      <c r="D78" s="121"/>
      <c r="E78" s="121"/>
      <c r="F78" s="121"/>
      <c r="G78" s="121"/>
      <c r="H78" s="121"/>
    </row>
    <row r="79" spans="1:8">
      <c r="A79" s="121" t="s">
        <v>167</v>
      </c>
      <c r="B79" s="121"/>
      <c r="C79" s="121"/>
      <c r="D79" s="121"/>
      <c r="E79" s="121"/>
      <c r="F79" s="121"/>
      <c r="G79" s="121"/>
      <c r="H79" s="121"/>
    </row>
    <row r="80" spans="1:8">
      <c r="A80" s="4"/>
      <c r="B80" s="4"/>
      <c r="C80" s="34"/>
      <c r="D80" s="30"/>
      <c r="E80" s="34"/>
      <c r="F80" s="14"/>
      <c r="G80" s="4"/>
      <c r="H80" s="4"/>
    </row>
    <row r="81" spans="1:8">
      <c r="A81" s="4"/>
      <c r="B81" s="4"/>
      <c r="C81" s="34"/>
      <c r="D81" s="30"/>
      <c r="E81" s="34"/>
      <c r="F81" s="14"/>
      <c r="G81" s="4"/>
      <c r="H81" s="4"/>
    </row>
    <row r="82" spans="1:8">
      <c r="A82" s="4"/>
      <c r="B82" s="4"/>
      <c r="C82" s="34"/>
      <c r="D82" s="30"/>
      <c r="E82" s="34"/>
      <c r="F82" s="14"/>
      <c r="G82" s="4"/>
      <c r="H82" s="4"/>
    </row>
    <row r="83" spans="1:8">
      <c r="A83" s="33"/>
      <c r="B83" s="33"/>
      <c r="C83" s="23"/>
      <c r="D83" s="30"/>
      <c r="E83" s="34"/>
      <c r="F83" s="13"/>
      <c r="G83" s="33"/>
      <c r="H83" s="33"/>
    </row>
    <row r="84" spans="1:8">
      <c r="A84" s="123" t="s">
        <v>166</v>
      </c>
      <c r="B84" s="123"/>
      <c r="C84" s="123"/>
      <c r="D84" s="123"/>
      <c r="E84" s="123"/>
      <c r="F84" s="123"/>
      <c r="G84" s="123"/>
      <c r="H84" s="123"/>
    </row>
    <row r="85" spans="1:8">
      <c r="A85" s="121" t="s">
        <v>160</v>
      </c>
      <c r="B85" s="121"/>
      <c r="C85" s="121"/>
      <c r="D85" s="121"/>
      <c r="E85" s="121"/>
      <c r="F85" s="121"/>
      <c r="G85" s="121"/>
      <c r="H85" s="121"/>
    </row>
  </sheetData>
  <mergeCells count="75">
    <mergeCell ref="A45:B45"/>
    <mergeCell ref="A46:B46"/>
    <mergeCell ref="A47:B47"/>
    <mergeCell ref="A49:E49"/>
    <mergeCell ref="A50:H50"/>
    <mergeCell ref="A84:H84"/>
    <mergeCell ref="A85:H85"/>
    <mergeCell ref="A75:C75"/>
    <mergeCell ref="E75:H75"/>
    <mergeCell ref="A76:C76"/>
    <mergeCell ref="E76:H76"/>
    <mergeCell ref="A78:H78"/>
    <mergeCell ref="A79:H79"/>
    <mergeCell ref="A71:C71"/>
    <mergeCell ref="E71:H71"/>
    <mergeCell ref="A56:B56"/>
    <mergeCell ref="A59:E59"/>
    <mergeCell ref="A60:H60"/>
    <mergeCell ref="A61:B61"/>
    <mergeCell ref="A62:B62"/>
    <mergeCell ref="E70:H70"/>
    <mergeCell ref="A51:B51"/>
    <mergeCell ref="A52:B52"/>
    <mergeCell ref="A53:B53"/>
    <mergeCell ref="A54:B54"/>
    <mergeCell ref="A63:B63"/>
    <mergeCell ref="A64:E64"/>
    <mergeCell ref="A65:H65"/>
    <mergeCell ref="A66:E66"/>
    <mergeCell ref="A68:H68"/>
    <mergeCell ref="A58:B58"/>
    <mergeCell ref="A57:B57"/>
    <mergeCell ref="A55:B55"/>
    <mergeCell ref="A48:B48"/>
    <mergeCell ref="A30:B30"/>
    <mergeCell ref="A31:B31"/>
    <mergeCell ref="A32:B32"/>
    <mergeCell ref="A33:B33"/>
    <mergeCell ref="A36:B36"/>
    <mergeCell ref="A34:B34"/>
    <mergeCell ref="A35:B35"/>
    <mergeCell ref="A44:B44"/>
    <mergeCell ref="A37:B37"/>
    <mergeCell ref="A38:B38"/>
    <mergeCell ref="A39:B39"/>
    <mergeCell ref="A40:B40"/>
    <mergeCell ref="A42:B42"/>
    <mergeCell ref="A41:B41"/>
    <mergeCell ref="A43:B43"/>
    <mergeCell ref="A19:H19"/>
    <mergeCell ref="A20:B20"/>
    <mergeCell ref="A29:B29"/>
    <mergeCell ref="A21:B21"/>
    <mergeCell ref="A23:B23"/>
    <mergeCell ref="A24:B24"/>
    <mergeCell ref="A26:B26"/>
    <mergeCell ref="A27:B27"/>
    <mergeCell ref="A28:B28"/>
    <mergeCell ref="A25:B25"/>
    <mergeCell ref="A22:B22"/>
    <mergeCell ref="A16:H16"/>
    <mergeCell ref="A17:B17"/>
    <mergeCell ref="A18:E18"/>
    <mergeCell ref="A15:B15"/>
    <mergeCell ref="A1:H1"/>
    <mergeCell ref="A2:H2"/>
    <mergeCell ref="A3:H3"/>
    <mergeCell ref="A4:H4"/>
    <mergeCell ref="A5:H5"/>
    <mergeCell ref="A8:H8"/>
    <mergeCell ref="A9:H9"/>
    <mergeCell ref="A11:H11"/>
    <mergeCell ref="A12:H12"/>
    <mergeCell ref="A13:H13"/>
    <mergeCell ref="A14:B14"/>
  </mergeCells>
  <hyperlinks>
    <hyperlink ref="A5" r:id="rId1" display="mailto:dlhbanjarmasin@gmail.com"/>
  </hyperlinks>
  <pageMargins left="0.25" right="0.25" top="0.75" bottom="0.75" header="0.3" footer="0.3"/>
  <pageSetup paperSize="10000" scale="99" orientation="portrait" horizontalDpi="0" verticalDpi="0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91"/>
  <sheetViews>
    <sheetView view="pageBreakPreview" topLeftCell="A70" zoomScaleNormal="100" zoomScaleSheetLayoutView="100" workbookViewId="0">
      <selection activeCell="A48" sqref="A48:XFD50"/>
    </sheetView>
  </sheetViews>
  <sheetFormatPr defaultRowHeight="14.5"/>
  <cols>
    <col min="1" max="2" width="9.453125" customWidth="1"/>
    <col min="3" max="3" width="31.1796875" customWidth="1"/>
    <col min="7" max="7" width="12.26953125" customWidth="1"/>
    <col min="8" max="8" width="14.90625" customWidth="1"/>
  </cols>
  <sheetData>
    <row r="1" spans="1:8" ht="17.5">
      <c r="A1" s="92" t="s">
        <v>0</v>
      </c>
      <c r="B1" s="92"/>
      <c r="C1" s="92"/>
      <c r="D1" s="92"/>
      <c r="E1" s="92"/>
      <c r="F1" s="92"/>
      <c r="G1" s="92"/>
      <c r="H1" s="92"/>
    </row>
    <row r="2" spans="1:8" ht="22">
      <c r="A2" s="93" t="s">
        <v>1</v>
      </c>
      <c r="B2" s="93"/>
      <c r="C2" s="93"/>
      <c r="D2" s="93"/>
      <c r="E2" s="93"/>
      <c r="F2" s="93"/>
      <c r="G2" s="93"/>
      <c r="H2" s="93"/>
    </row>
    <row r="3" spans="1:8">
      <c r="A3" s="94" t="s">
        <v>2</v>
      </c>
      <c r="B3" s="94"/>
      <c r="C3" s="94"/>
      <c r="D3" s="94"/>
      <c r="E3" s="94"/>
      <c r="F3" s="94"/>
      <c r="G3" s="94"/>
      <c r="H3" s="94"/>
    </row>
    <row r="4" spans="1:8">
      <c r="A4" s="94" t="s">
        <v>3</v>
      </c>
      <c r="B4" s="94"/>
      <c r="C4" s="94"/>
      <c r="D4" s="94"/>
      <c r="E4" s="94"/>
      <c r="F4" s="94"/>
      <c r="G4" s="94"/>
      <c r="H4" s="94"/>
    </row>
    <row r="5" spans="1:8">
      <c r="A5" s="95" t="s">
        <v>4</v>
      </c>
      <c r="B5" s="95"/>
      <c r="C5" s="95"/>
      <c r="D5" s="95"/>
      <c r="E5" s="95"/>
      <c r="F5" s="95"/>
      <c r="G5" s="95"/>
      <c r="H5" s="95"/>
    </row>
    <row r="6" spans="1:8" ht="15" thickBot="1">
      <c r="A6" s="7"/>
      <c r="B6" s="8"/>
      <c r="C6" s="9"/>
      <c r="D6" s="9"/>
      <c r="E6" s="9"/>
      <c r="F6" s="55"/>
      <c r="G6" s="8"/>
      <c r="H6" s="8"/>
    </row>
    <row r="7" spans="1:8" ht="15" thickTop="1">
      <c r="A7" s="10"/>
      <c r="B7" s="11"/>
      <c r="C7" s="6"/>
      <c r="D7" s="6"/>
      <c r="E7" s="6"/>
      <c r="F7" s="47"/>
      <c r="G7" s="11"/>
      <c r="H7" s="11"/>
    </row>
    <row r="8" spans="1:8">
      <c r="A8" s="96" t="s">
        <v>5</v>
      </c>
      <c r="B8" s="96"/>
      <c r="C8" s="96"/>
      <c r="D8" s="96"/>
      <c r="E8" s="96"/>
      <c r="F8" s="96"/>
      <c r="G8" s="96"/>
      <c r="H8" s="96"/>
    </row>
    <row r="9" spans="1:8">
      <c r="A9" s="97" t="s">
        <v>137</v>
      </c>
      <c r="B9" s="97"/>
      <c r="C9" s="97"/>
      <c r="D9" s="97"/>
      <c r="E9" s="97"/>
      <c r="F9" s="97"/>
      <c r="G9" s="97"/>
      <c r="H9" s="97"/>
    </row>
    <row r="10" spans="1:8">
      <c r="A10" s="12"/>
      <c r="B10" s="12"/>
      <c r="C10" s="13"/>
      <c r="D10" s="13"/>
      <c r="E10" s="14"/>
      <c r="F10" s="13"/>
      <c r="G10" s="12"/>
      <c r="H10" s="12"/>
    </row>
    <row r="11" spans="1:8">
      <c r="A11" s="98" t="s">
        <v>149</v>
      </c>
      <c r="B11" s="98"/>
      <c r="C11" s="98"/>
      <c r="D11" s="98"/>
      <c r="E11" s="98"/>
      <c r="F11" s="98"/>
      <c r="G11" s="98"/>
      <c r="H11" s="98"/>
    </row>
    <row r="12" spans="1:8">
      <c r="A12" s="99" t="s">
        <v>8</v>
      </c>
      <c r="B12" s="99"/>
      <c r="C12" s="99"/>
      <c r="D12" s="99"/>
      <c r="E12" s="99"/>
      <c r="F12" s="99"/>
      <c r="G12" s="99"/>
      <c r="H12" s="99"/>
    </row>
    <row r="13" spans="1:8">
      <c r="A13" s="100" t="s">
        <v>142</v>
      </c>
      <c r="B13" s="100"/>
      <c r="C13" s="100"/>
      <c r="D13" s="100"/>
      <c r="E13" s="100"/>
      <c r="F13" s="100"/>
      <c r="G13" s="100"/>
      <c r="H13" s="100"/>
    </row>
    <row r="14" spans="1:8" ht="34.5">
      <c r="A14" s="91" t="s">
        <v>10</v>
      </c>
      <c r="B14" s="91"/>
      <c r="C14" s="25" t="s">
        <v>11</v>
      </c>
      <c r="D14" s="19" t="s">
        <v>12</v>
      </c>
      <c r="E14" s="26" t="s">
        <v>13</v>
      </c>
      <c r="F14" s="41" t="s">
        <v>14</v>
      </c>
      <c r="G14" s="20" t="s">
        <v>15</v>
      </c>
      <c r="H14" s="20" t="s">
        <v>16</v>
      </c>
    </row>
    <row r="15" spans="1:8">
      <c r="A15" s="91">
        <v>1</v>
      </c>
      <c r="B15" s="91"/>
      <c r="C15" s="25">
        <v>2</v>
      </c>
      <c r="D15" s="25">
        <v>3</v>
      </c>
      <c r="E15" s="27">
        <v>4</v>
      </c>
      <c r="F15" s="41">
        <v>5</v>
      </c>
      <c r="G15" s="20">
        <v>6</v>
      </c>
      <c r="H15" s="20">
        <v>7</v>
      </c>
    </row>
    <row r="16" spans="1:8">
      <c r="A16" s="102" t="s">
        <v>17</v>
      </c>
      <c r="B16" s="102"/>
      <c r="C16" s="102"/>
      <c r="D16" s="102"/>
      <c r="E16" s="102"/>
      <c r="F16" s="102"/>
      <c r="G16" s="102"/>
      <c r="H16" s="102"/>
    </row>
    <row r="17" spans="1:8">
      <c r="A17" s="103" t="s">
        <v>18</v>
      </c>
      <c r="B17" s="103"/>
      <c r="C17" s="42" t="s">
        <v>19</v>
      </c>
      <c r="D17" s="45">
        <v>45</v>
      </c>
      <c r="E17" s="37" t="s">
        <v>20</v>
      </c>
      <c r="F17" s="52">
        <v>20</v>
      </c>
      <c r="G17" s="56">
        <v>25300</v>
      </c>
      <c r="H17" s="44">
        <v>506000</v>
      </c>
    </row>
    <row r="18" spans="1:8">
      <c r="A18" s="104" t="s">
        <v>21</v>
      </c>
      <c r="B18" s="105"/>
      <c r="C18" s="42" t="s">
        <v>22</v>
      </c>
      <c r="D18" s="43">
        <v>1000</v>
      </c>
      <c r="E18" s="37" t="s">
        <v>20</v>
      </c>
      <c r="F18" s="52">
        <v>500</v>
      </c>
      <c r="G18" s="56">
        <v>5000</v>
      </c>
      <c r="H18" s="44">
        <v>2500000</v>
      </c>
    </row>
    <row r="19" spans="1:8">
      <c r="A19" s="103" t="s">
        <v>23</v>
      </c>
      <c r="B19" s="103"/>
      <c r="C19" s="42" t="s">
        <v>24</v>
      </c>
      <c r="D19" s="43">
        <v>490</v>
      </c>
      <c r="E19" s="37" t="s">
        <v>20</v>
      </c>
      <c r="F19" s="52">
        <v>300</v>
      </c>
      <c r="G19" s="56">
        <v>5000</v>
      </c>
      <c r="H19" s="44">
        <v>1500000</v>
      </c>
    </row>
    <row r="20" spans="1:8">
      <c r="A20" s="106" t="s">
        <v>25</v>
      </c>
      <c r="B20" s="107"/>
      <c r="C20" s="107"/>
      <c r="D20" s="107"/>
      <c r="E20" s="108"/>
      <c r="F20" s="57">
        <v>820</v>
      </c>
      <c r="G20" s="58">
        <v>35300</v>
      </c>
      <c r="H20" s="51">
        <v>4506000</v>
      </c>
    </row>
    <row r="21" spans="1:8">
      <c r="A21" s="109" t="s">
        <v>26</v>
      </c>
      <c r="B21" s="109"/>
      <c r="C21" s="109"/>
      <c r="D21" s="109"/>
      <c r="E21" s="109"/>
      <c r="F21" s="110"/>
      <c r="G21" s="109"/>
      <c r="H21" s="109"/>
    </row>
    <row r="22" spans="1:8">
      <c r="A22" s="111" t="s">
        <v>27</v>
      </c>
      <c r="B22" s="111"/>
      <c r="C22" s="17" t="s">
        <v>28</v>
      </c>
      <c r="D22" s="5">
        <v>5</v>
      </c>
      <c r="E22" s="59" t="s">
        <v>29</v>
      </c>
      <c r="F22" s="60">
        <v>4</v>
      </c>
      <c r="G22" s="48">
        <v>31635</v>
      </c>
      <c r="H22" s="2">
        <v>126540</v>
      </c>
    </row>
    <row r="23" spans="1:8">
      <c r="A23" s="111" t="s">
        <v>30</v>
      </c>
      <c r="B23" s="111"/>
      <c r="C23" s="17" t="s">
        <v>31</v>
      </c>
      <c r="D23" s="5">
        <v>10</v>
      </c>
      <c r="E23" s="59" t="s">
        <v>29</v>
      </c>
      <c r="F23" s="60">
        <v>6</v>
      </c>
      <c r="G23" s="48">
        <v>22755</v>
      </c>
      <c r="H23" s="2">
        <v>136530</v>
      </c>
    </row>
    <row r="24" spans="1:8">
      <c r="A24" s="111" t="s">
        <v>32</v>
      </c>
      <c r="B24" s="111"/>
      <c r="C24" s="17" t="s">
        <v>33</v>
      </c>
      <c r="D24" s="5">
        <v>10</v>
      </c>
      <c r="E24" s="59" t="s">
        <v>29</v>
      </c>
      <c r="F24" s="60">
        <v>10</v>
      </c>
      <c r="G24" s="48">
        <v>42735</v>
      </c>
      <c r="H24" s="2">
        <v>427350</v>
      </c>
    </row>
    <row r="25" spans="1:8">
      <c r="A25" s="111" t="s">
        <v>34</v>
      </c>
      <c r="B25" s="111"/>
      <c r="C25" s="17" t="s">
        <v>35</v>
      </c>
      <c r="D25" s="5">
        <v>51</v>
      </c>
      <c r="E25" s="59" t="s">
        <v>36</v>
      </c>
      <c r="F25" s="60">
        <v>20</v>
      </c>
      <c r="G25" s="48">
        <v>4662</v>
      </c>
      <c r="H25" s="2">
        <v>93240</v>
      </c>
    </row>
    <row r="26" spans="1:8">
      <c r="A26" s="111" t="s">
        <v>37</v>
      </c>
      <c r="B26" s="111"/>
      <c r="C26" s="17" t="s">
        <v>38</v>
      </c>
      <c r="D26" s="5">
        <v>10</v>
      </c>
      <c r="E26" s="59" t="s">
        <v>39</v>
      </c>
      <c r="F26" s="60">
        <v>3</v>
      </c>
      <c r="G26" s="48">
        <v>22200</v>
      </c>
      <c r="H26" s="2">
        <v>66600</v>
      </c>
    </row>
    <row r="27" spans="1:8">
      <c r="A27" s="101" t="s">
        <v>40</v>
      </c>
      <c r="B27" s="101"/>
      <c r="C27" s="17" t="s">
        <v>41</v>
      </c>
      <c r="D27" s="5">
        <v>5</v>
      </c>
      <c r="E27" s="59" t="s">
        <v>39</v>
      </c>
      <c r="F27" s="60">
        <v>1</v>
      </c>
      <c r="G27" s="48">
        <v>115440</v>
      </c>
      <c r="H27" s="2">
        <v>115440</v>
      </c>
    </row>
    <row r="28" spans="1:8">
      <c r="A28" s="111" t="s">
        <v>42</v>
      </c>
      <c r="B28" s="111"/>
      <c r="C28" s="17" t="s">
        <v>43</v>
      </c>
      <c r="D28" s="5">
        <v>50</v>
      </c>
      <c r="E28" s="59" t="s">
        <v>29</v>
      </c>
      <c r="F28" s="60">
        <v>9</v>
      </c>
      <c r="G28" s="48">
        <v>29970</v>
      </c>
      <c r="H28" s="2">
        <v>269730</v>
      </c>
    </row>
    <row r="29" spans="1:8">
      <c r="A29" s="111" t="s">
        <v>44</v>
      </c>
      <c r="B29" s="111"/>
      <c r="C29" s="17" t="s">
        <v>45</v>
      </c>
      <c r="D29" s="5">
        <v>25</v>
      </c>
      <c r="E29" s="59" t="s">
        <v>29</v>
      </c>
      <c r="F29" s="60">
        <v>11</v>
      </c>
      <c r="G29" s="48">
        <v>5883</v>
      </c>
      <c r="H29" s="2">
        <v>64713</v>
      </c>
    </row>
    <row r="30" spans="1:8">
      <c r="A30" s="111" t="s">
        <v>46</v>
      </c>
      <c r="B30" s="111"/>
      <c r="C30" s="17" t="s">
        <v>47</v>
      </c>
      <c r="D30" s="5">
        <v>51</v>
      </c>
      <c r="E30" s="59" t="s">
        <v>36</v>
      </c>
      <c r="F30" s="60">
        <v>8</v>
      </c>
      <c r="G30" s="48">
        <v>5717</v>
      </c>
      <c r="H30" s="2">
        <v>45736</v>
      </c>
    </row>
    <row r="31" spans="1:8">
      <c r="A31" s="111" t="s">
        <v>48</v>
      </c>
      <c r="B31" s="111"/>
      <c r="C31" s="17" t="s">
        <v>49</v>
      </c>
      <c r="D31" s="5">
        <v>50</v>
      </c>
      <c r="E31" s="59" t="s">
        <v>29</v>
      </c>
      <c r="F31" s="60">
        <v>48</v>
      </c>
      <c r="G31" s="48">
        <v>46898</v>
      </c>
      <c r="H31" s="2">
        <v>2251104</v>
      </c>
    </row>
    <row r="32" spans="1:8">
      <c r="A32" s="111" t="s">
        <v>50</v>
      </c>
      <c r="B32" s="111"/>
      <c r="C32" s="17" t="s">
        <v>51</v>
      </c>
      <c r="D32" s="5">
        <v>50</v>
      </c>
      <c r="E32" s="59" t="s">
        <v>36</v>
      </c>
      <c r="F32" s="60">
        <v>38</v>
      </c>
      <c r="G32" s="48">
        <v>11100</v>
      </c>
      <c r="H32" s="2">
        <v>421800</v>
      </c>
    </row>
    <row r="33" spans="1:8">
      <c r="A33" s="111" t="s">
        <v>52</v>
      </c>
      <c r="B33" s="111"/>
      <c r="C33" s="17" t="s">
        <v>53</v>
      </c>
      <c r="D33" s="5">
        <v>10</v>
      </c>
      <c r="E33" s="59" t="s">
        <v>29</v>
      </c>
      <c r="F33" s="60">
        <v>8</v>
      </c>
      <c r="G33" s="48">
        <v>23310</v>
      </c>
      <c r="H33" s="2">
        <v>186480</v>
      </c>
    </row>
    <row r="34" spans="1:8">
      <c r="A34" s="111" t="s">
        <v>54</v>
      </c>
      <c r="B34" s="111"/>
      <c r="C34" s="17" t="s">
        <v>55</v>
      </c>
      <c r="D34" s="5">
        <v>3</v>
      </c>
      <c r="E34" s="59" t="s">
        <v>29</v>
      </c>
      <c r="F34" s="60">
        <v>3</v>
      </c>
      <c r="G34" s="48">
        <v>13320</v>
      </c>
      <c r="H34" s="2">
        <v>39960</v>
      </c>
    </row>
    <row r="35" spans="1:8">
      <c r="A35" s="111" t="s">
        <v>56</v>
      </c>
      <c r="B35" s="111"/>
      <c r="C35" s="17" t="s">
        <v>57</v>
      </c>
      <c r="D35" s="5">
        <v>25</v>
      </c>
      <c r="E35" s="59" t="s">
        <v>36</v>
      </c>
      <c r="F35" s="60">
        <v>3</v>
      </c>
      <c r="G35" s="48">
        <v>28860</v>
      </c>
      <c r="H35" s="2">
        <v>86580</v>
      </c>
    </row>
    <row r="36" spans="1:8">
      <c r="A36" s="111" t="s">
        <v>58</v>
      </c>
      <c r="B36" s="111"/>
      <c r="C36" s="17" t="s">
        <v>59</v>
      </c>
      <c r="D36" s="5">
        <v>25</v>
      </c>
      <c r="E36" s="59" t="s">
        <v>36</v>
      </c>
      <c r="F36" s="60">
        <v>5</v>
      </c>
      <c r="G36" s="48">
        <v>19148</v>
      </c>
      <c r="H36" s="2">
        <v>95740</v>
      </c>
    </row>
    <row r="37" spans="1:8">
      <c r="A37" s="111" t="s">
        <v>60</v>
      </c>
      <c r="B37" s="111"/>
      <c r="C37" s="17" t="s">
        <v>61</v>
      </c>
      <c r="D37" s="5">
        <v>59</v>
      </c>
      <c r="E37" s="59" t="s">
        <v>36</v>
      </c>
      <c r="F37" s="60">
        <v>18</v>
      </c>
      <c r="G37" s="48">
        <v>4662</v>
      </c>
      <c r="H37" s="2">
        <v>83916</v>
      </c>
    </row>
    <row r="38" spans="1:8">
      <c r="A38" s="111" t="s">
        <v>62</v>
      </c>
      <c r="B38" s="111"/>
      <c r="C38" s="17" t="s">
        <v>63</v>
      </c>
      <c r="D38" s="5">
        <v>24</v>
      </c>
      <c r="E38" s="59" t="s">
        <v>36</v>
      </c>
      <c r="F38" s="60">
        <v>1</v>
      </c>
      <c r="G38" s="48">
        <v>5550</v>
      </c>
      <c r="H38" s="2">
        <v>5550</v>
      </c>
    </row>
    <row r="39" spans="1:8">
      <c r="A39" s="114" t="s">
        <v>64</v>
      </c>
      <c r="B39" s="114"/>
      <c r="C39" s="54" t="s">
        <v>65</v>
      </c>
      <c r="D39" s="5">
        <v>25</v>
      </c>
      <c r="E39" s="59" t="s">
        <v>36</v>
      </c>
      <c r="F39" s="62">
        <v>3</v>
      </c>
      <c r="G39" s="48">
        <v>13154</v>
      </c>
      <c r="H39" s="2">
        <v>39462</v>
      </c>
    </row>
    <row r="40" spans="1:8">
      <c r="A40" s="115" t="s">
        <v>66</v>
      </c>
      <c r="B40" s="116"/>
      <c r="C40" s="50" t="s">
        <v>67</v>
      </c>
      <c r="D40" s="5">
        <v>26</v>
      </c>
      <c r="E40" s="59" t="s">
        <v>36</v>
      </c>
      <c r="F40" s="62">
        <v>12</v>
      </c>
      <c r="G40" s="48">
        <v>10545</v>
      </c>
      <c r="H40" s="2">
        <v>126540</v>
      </c>
    </row>
    <row r="41" spans="1:8">
      <c r="A41" s="111" t="s">
        <v>68</v>
      </c>
      <c r="B41" s="111"/>
      <c r="C41" s="17" t="s">
        <v>69</v>
      </c>
      <c r="D41" s="5">
        <v>12</v>
      </c>
      <c r="E41" s="59" t="s">
        <v>29</v>
      </c>
      <c r="F41" s="60">
        <v>4</v>
      </c>
      <c r="G41" s="48">
        <v>11100</v>
      </c>
      <c r="H41" s="2">
        <v>44400</v>
      </c>
    </row>
    <row r="42" spans="1:8">
      <c r="A42" s="112" t="s">
        <v>70</v>
      </c>
      <c r="B42" s="113"/>
      <c r="C42" s="49" t="s">
        <v>71</v>
      </c>
      <c r="D42" s="5">
        <v>12</v>
      </c>
      <c r="E42" s="59" t="s">
        <v>29</v>
      </c>
      <c r="F42" s="60">
        <v>2</v>
      </c>
      <c r="G42" s="48">
        <v>12210</v>
      </c>
      <c r="H42" s="2">
        <v>24420</v>
      </c>
    </row>
    <row r="43" spans="1:8">
      <c r="A43" s="111" t="s">
        <v>72</v>
      </c>
      <c r="B43" s="111"/>
      <c r="C43" s="17" t="s">
        <v>73</v>
      </c>
      <c r="D43" s="5">
        <v>24</v>
      </c>
      <c r="E43" s="59" t="s">
        <v>29</v>
      </c>
      <c r="F43" s="60">
        <v>6</v>
      </c>
      <c r="G43" s="48">
        <v>11655</v>
      </c>
      <c r="H43" s="2">
        <v>69930</v>
      </c>
    </row>
    <row r="44" spans="1:8">
      <c r="A44" s="111" t="s">
        <v>74</v>
      </c>
      <c r="B44" s="111"/>
      <c r="C44" s="17" t="s">
        <v>75</v>
      </c>
      <c r="D44" s="5">
        <v>50</v>
      </c>
      <c r="E44" s="59" t="s">
        <v>29</v>
      </c>
      <c r="F44" s="60">
        <v>30</v>
      </c>
      <c r="G44" s="48">
        <v>22200</v>
      </c>
      <c r="H44" s="2">
        <v>666000</v>
      </c>
    </row>
    <row r="45" spans="1:8">
      <c r="A45" s="112" t="s">
        <v>76</v>
      </c>
      <c r="B45" s="113"/>
      <c r="C45" s="49" t="s">
        <v>77</v>
      </c>
      <c r="D45" s="5">
        <v>21</v>
      </c>
      <c r="E45" s="59" t="s">
        <v>29</v>
      </c>
      <c r="F45" s="60">
        <v>11</v>
      </c>
      <c r="G45" s="48">
        <v>35798</v>
      </c>
      <c r="H45" s="2">
        <v>393778</v>
      </c>
    </row>
    <row r="46" spans="1:8">
      <c r="A46" s="111" t="s">
        <v>78</v>
      </c>
      <c r="B46" s="111"/>
      <c r="C46" s="17" t="s">
        <v>79</v>
      </c>
      <c r="D46" s="5">
        <v>100</v>
      </c>
      <c r="E46" s="59" t="s">
        <v>80</v>
      </c>
      <c r="F46" s="60">
        <v>70</v>
      </c>
      <c r="G46" s="48">
        <v>46065</v>
      </c>
      <c r="H46" s="2">
        <v>3224550</v>
      </c>
    </row>
    <row r="47" spans="1:8">
      <c r="A47" s="111" t="s">
        <v>81</v>
      </c>
      <c r="B47" s="111"/>
      <c r="C47" s="49" t="s">
        <v>82</v>
      </c>
      <c r="D47" s="5">
        <v>11</v>
      </c>
      <c r="E47" s="59" t="s">
        <v>29</v>
      </c>
      <c r="F47" s="62">
        <v>5</v>
      </c>
      <c r="G47" s="48">
        <v>10545</v>
      </c>
      <c r="H47" s="2">
        <v>52725</v>
      </c>
    </row>
    <row r="48" spans="1:8">
      <c r="A48" s="111" t="s">
        <v>83</v>
      </c>
      <c r="B48" s="111"/>
      <c r="C48" s="17" t="s">
        <v>84</v>
      </c>
      <c r="D48" s="5">
        <v>100</v>
      </c>
      <c r="E48" s="59" t="s">
        <v>36</v>
      </c>
      <c r="F48" s="60">
        <v>100</v>
      </c>
      <c r="G48" s="2">
        <v>4125</v>
      </c>
      <c r="H48" s="2">
        <v>412500</v>
      </c>
    </row>
    <row r="49" spans="1:8">
      <c r="A49" s="111" t="s">
        <v>85</v>
      </c>
      <c r="B49" s="111"/>
      <c r="C49" s="17" t="s">
        <v>86</v>
      </c>
      <c r="D49" s="5">
        <v>160</v>
      </c>
      <c r="E49" s="59" t="s">
        <v>36</v>
      </c>
      <c r="F49" s="60">
        <v>160</v>
      </c>
      <c r="G49" s="61">
        <v>85000</v>
      </c>
      <c r="H49" s="2">
        <v>13600000</v>
      </c>
    </row>
    <row r="50" spans="1:8">
      <c r="A50" s="111" t="s">
        <v>87</v>
      </c>
      <c r="B50" s="111"/>
      <c r="C50" s="17" t="s">
        <v>88</v>
      </c>
      <c r="D50" s="5">
        <v>25</v>
      </c>
      <c r="E50" s="59" t="s">
        <v>36</v>
      </c>
      <c r="F50" s="60">
        <v>500</v>
      </c>
      <c r="G50" s="48">
        <v>23310</v>
      </c>
      <c r="H50" s="2">
        <v>11655000</v>
      </c>
    </row>
    <row r="51" spans="1:8">
      <c r="A51" s="115" t="s">
        <v>89</v>
      </c>
      <c r="B51" s="116"/>
      <c r="C51" s="50" t="s">
        <v>90</v>
      </c>
      <c r="D51" s="5">
        <v>10</v>
      </c>
      <c r="E51" s="59" t="s">
        <v>29</v>
      </c>
      <c r="F51" s="63">
        <v>2</v>
      </c>
      <c r="G51" s="48">
        <v>57720</v>
      </c>
      <c r="H51" s="2">
        <v>115440</v>
      </c>
    </row>
    <row r="52" spans="1:8">
      <c r="A52" s="111" t="s">
        <v>91</v>
      </c>
      <c r="B52" s="111"/>
      <c r="C52" s="17" t="s">
        <v>92</v>
      </c>
      <c r="D52" s="5">
        <v>10</v>
      </c>
      <c r="E52" s="59" t="s">
        <v>29</v>
      </c>
      <c r="F52" s="60">
        <v>5</v>
      </c>
      <c r="G52" s="48">
        <v>4662</v>
      </c>
      <c r="H52" s="2">
        <v>23310</v>
      </c>
    </row>
    <row r="53" spans="1:8">
      <c r="A53" s="111" t="s">
        <v>93</v>
      </c>
      <c r="B53" s="111"/>
      <c r="C53" s="17" t="s">
        <v>94</v>
      </c>
      <c r="D53" s="5">
        <v>5</v>
      </c>
      <c r="E53" s="59" t="s">
        <v>29</v>
      </c>
      <c r="F53" s="60">
        <v>3</v>
      </c>
      <c r="G53" s="48">
        <v>17594</v>
      </c>
      <c r="H53" s="2">
        <v>52782</v>
      </c>
    </row>
    <row r="54" spans="1:8">
      <c r="A54" s="111" t="s">
        <v>95</v>
      </c>
      <c r="B54" s="111"/>
      <c r="C54" s="17" t="s">
        <v>96</v>
      </c>
      <c r="D54" s="5">
        <v>14</v>
      </c>
      <c r="E54" s="59" t="s">
        <v>29</v>
      </c>
      <c r="F54" s="60">
        <v>5</v>
      </c>
      <c r="G54" s="48">
        <v>18870</v>
      </c>
      <c r="H54" s="2">
        <v>94350</v>
      </c>
    </row>
    <row r="55" spans="1:8">
      <c r="A55" s="111" t="s">
        <v>97</v>
      </c>
      <c r="B55" s="111"/>
      <c r="C55" s="17" t="s">
        <v>98</v>
      </c>
      <c r="D55" s="5">
        <v>12</v>
      </c>
      <c r="E55" s="59" t="s">
        <v>29</v>
      </c>
      <c r="F55" s="60">
        <v>4</v>
      </c>
      <c r="G55" s="48">
        <v>23310</v>
      </c>
      <c r="H55" s="2">
        <v>93240</v>
      </c>
    </row>
    <row r="56" spans="1:8">
      <c r="A56" s="111" t="s">
        <v>99</v>
      </c>
      <c r="B56" s="111"/>
      <c r="C56" s="17" t="s">
        <v>100</v>
      </c>
      <c r="D56" s="5">
        <v>50</v>
      </c>
      <c r="E56" s="59" t="s">
        <v>80</v>
      </c>
      <c r="F56" s="60">
        <v>50</v>
      </c>
      <c r="G56" s="65">
        <v>50505</v>
      </c>
      <c r="H56" s="2">
        <v>2525250</v>
      </c>
    </row>
    <row r="57" spans="1:8">
      <c r="A57" s="117" t="s">
        <v>25</v>
      </c>
      <c r="B57" s="117"/>
      <c r="C57" s="117"/>
      <c r="D57" s="117"/>
      <c r="E57" s="117"/>
      <c r="F57" s="64">
        <v>1168</v>
      </c>
      <c r="G57" s="3">
        <v>892213</v>
      </c>
      <c r="H57" s="3">
        <v>37730686</v>
      </c>
    </row>
    <row r="58" spans="1:8">
      <c r="A58" s="109" t="s">
        <v>101</v>
      </c>
      <c r="B58" s="109"/>
      <c r="C58" s="109"/>
      <c r="D58" s="109"/>
      <c r="E58" s="109"/>
      <c r="F58" s="110"/>
      <c r="G58" s="109"/>
      <c r="H58" s="109"/>
    </row>
    <row r="59" spans="1:8">
      <c r="A59" s="111" t="s">
        <v>102</v>
      </c>
      <c r="B59" s="111"/>
      <c r="C59" s="17" t="s">
        <v>103</v>
      </c>
      <c r="D59" s="5">
        <v>10</v>
      </c>
      <c r="E59" s="59" t="s">
        <v>36</v>
      </c>
      <c r="F59" s="62">
        <v>3</v>
      </c>
      <c r="G59" s="65">
        <v>23255</v>
      </c>
      <c r="H59" s="2">
        <v>69765</v>
      </c>
    </row>
    <row r="60" spans="1:8">
      <c r="A60" s="111" t="s">
        <v>104</v>
      </c>
      <c r="B60" s="111"/>
      <c r="C60" s="17" t="s">
        <v>105</v>
      </c>
      <c r="D60" s="5">
        <v>11</v>
      </c>
      <c r="E60" s="59" t="s">
        <v>36</v>
      </c>
      <c r="F60" s="62">
        <v>4</v>
      </c>
      <c r="G60" s="65">
        <v>25086</v>
      </c>
      <c r="H60" s="2">
        <v>100344</v>
      </c>
    </row>
    <row r="61" spans="1:8">
      <c r="A61" s="111" t="s">
        <v>106</v>
      </c>
      <c r="B61" s="111"/>
      <c r="C61" s="17" t="s">
        <v>107</v>
      </c>
      <c r="D61" s="5">
        <v>10</v>
      </c>
      <c r="E61" s="59" t="s">
        <v>36</v>
      </c>
      <c r="F61" s="60">
        <v>4</v>
      </c>
      <c r="G61" s="65">
        <v>24032</v>
      </c>
      <c r="H61" s="2">
        <v>96128</v>
      </c>
    </row>
    <row r="62" spans="1:8">
      <c r="A62" s="119" t="s">
        <v>108</v>
      </c>
      <c r="B62" s="119"/>
      <c r="C62" s="17" t="s">
        <v>109</v>
      </c>
      <c r="D62" s="5">
        <v>5</v>
      </c>
      <c r="E62" s="59" t="s">
        <v>110</v>
      </c>
      <c r="F62" s="60">
        <v>5</v>
      </c>
      <c r="G62" s="66">
        <v>124459</v>
      </c>
      <c r="H62" s="2">
        <v>622295</v>
      </c>
    </row>
    <row r="63" spans="1:8">
      <c r="A63" s="112" t="s">
        <v>111</v>
      </c>
      <c r="B63" s="113"/>
      <c r="C63" s="17" t="s">
        <v>112</v>
      </c>
      <c r="D63" s="5">
        <v>10</v>
      </c>
      <c r="E63" s="59" t="s">
        <v>110</v>
      </c>
      <c r="F63" s="60">
        <v>4</v>
      </c>
      <c r="G63" s="65">
        <v>73538</v>
      </c>
      <c r="H63" s="2">
        <v>294152</v>
      </c>
    </row>
    <row r="64" spans="1:8">
      <c r="A64" s="111" t="s">
        <v>113</v>
      </c>
      <c r="B64" s="111"/>
      <c r="C64" s="17" t="s">
        <v>114</v>
      </c>
      <c r="D64" s="5">
        <v>453</v>
      </c>
      <c r="E64" s="59" t="s">
        <v>110</v>
      </c>
      <c r="F64" s="60">
        <v>50</v>
      </c>
      <c r="G64" s="66">
        <v>70000</v>
      </c>
      <c r="H64" s="2">
        <v>3500000</v>
      </c>
    </row>
    <row r="65" spans="1:8">
      <c r="A65" s="117" t="s">
        <v>25</v>
      </c>
      <c r="B65" s="117"/>
      <c r="C65" s="117"/>
      <c r="D65" s="117"/>
      <c r="E65" s="117"/>
      <c r="F65" s="64">
        <v>70</v>
      </c>
      <c r="G65" s="3">
        <v>340370</v>
      </c>
      <c r="H65" s="3">
        <v>4682684</v>
      </c>
    </row>
    <row r="66" spans="1:8">
      <c r="A66" s="118" t="s">
        <v>115</v>
      </c>
      <c r="B66" s="118"/>
      <c r="C66" s="118"/>
      <c r="D66" s="118"/>
      <c r="E66" s="118"/>
      <c r="F66" s="118"/>
      <c r="G66" s="118"/>
      <c r="H66" s="118"/>
    </row>
    <row r="67" spans="1:8">
      <c r="A67" s="120" t="s">
        <v>116</v>
      </c>
      <c r="B67" s="120"/>
      <c r="C67" s="35" t="s">
        <v>117</v>
      </c>
      <c r="D67" s="36">
        <v>11</v>
      </c>
      <c r="E67" s="37" t="s">
        <v>39</v>
      </c>
      <c r="F67" s="53">
        <v>9</v>
      </c>
      <c r="G67" s="38">
        <v>191250</v>
      </c>
      <c r="H67" s="38">
        <v>1721250</v>
      </c>
    </row>
    <row r="68" spans="1:8">
      <c r="A68" s="103" t="s">
        <v>118</v>
      </c>
      <c r="B68" s="103"/>
      <c r="C68" s="35" t="s">
        <v>119</v>
      </c>
      <c r="D68" s="36">
        <v>11</v>
      </c>
      <c r="E68" s="37" t="s">
        <v>29</v>
      </c>
      <c r="F68" s="53">
        <v>9</v>
      </c>
      <c r="G68" s="38">
        <v>188750</v>
      </c>
      <c r="H68" s="38">
        <v>1698750</v>
      </c>
    </row>
    <row r="69" spans="1:8">
      <c r="A69" s="104" t="s">
        <v>120</v>
      </c>
      <c r="B69" s="105"/>
      <c r="C69" s="35" t="s">
        <v>121</v>
      </c>
      <c r="D69" s="36"/>
      <c r="E69" s="37" t="s">
        <v>29</v>
      </c>
      <c r="F69" s="36">
        <v>900</v>
      </c>
      <c r="G69" s="38">
        <v>177000.6</v>
      </c>
      <c r="H69" s="38">
        <v>159300540</v>
      </c>
    </row>
    <row r="70" spans="1:8">
      <c r="A70" s="117" t="s">
        <v>25</v>
      </c>
      <c r="B70" s="117"/>
      <c r="C70" s="117"/>
      <c r="D70" s="117"/>
      <c r="E70" s="117"/>
      <c r="F70" s="39">
        <v>918</v>
      </c>
      <c r="G70" s="3">
        <v>557000.6</v>
      </c>
      <c r="H70" s="3">
        <v>162720540</v>
      </c>
    </row>
    <row r="71" spans="1:8">
      <c r="A71" s="122" t="s">
        <v>122</v>
      </c>
      <c r="B71" s="122"/>
      <c r="C71" s="122"/>
      <c r="D71" s="122"/>
      <c r="E71" s="122"/>
      <c r="F71" s="122"/>
      <c r="G71" s="122"/>
      <c r="H71" s="122"/>
    </row>
    <row r="72" spans="1:8">
      <c r="A72" s="117" t="s">
        <v>25</v>
      </c>
      <c r="B72" s="117"/>
      <c r="C72" s="117"/>
      <c r="D72" s="117"/>
      <c r="E72" s="117"/>
      <c r="F72" s="40">
        <v>2976</v>
      </c>
      <c r="G72" s="3">
        <v>1824883.6</v>
      </c>
      <c r="H72" s="3">
        <v>209639910</v>
      </c>
    </row>
    <row r="73" spans="1:8">
      <c r="A73" s="46"/>
      <c r="B73" s="46"/>
      <c r="C73" s="30"/>
      <c r="D73" s="30"/>
      <c r="E73" s="32"/>
      <c r="F73" s="21"/>
      <c r="G73" s="31"/>
      <c r="H73" s="31"/>
    </row>
    <row r="74" spans="1:8">
      <c r="A74" s="99" t="s">
        <v>123</v>
      </c>
      <c r="B74" s="99"/>
      <c r="C74" s="99"/>
      <c r="D74" s="99"/>
      <c r="E74" s="99"/>
      <c r="F74" s="99"/>
      <c r="G74" s="99"/>
      <c r="H74" s="99"/>
    </row>
    <row r="75" spans="1:8">
      <c r="A75" s="15"/>
      <c r="B75" s="15"/>
      <c r="C75" s="16"/>
      <c r="D75" s="21"/>
      <c r="E75" s="16"/>
      <c r="F75" s="16"/>
      <c r="G75" s="15"/>
      <c r="H75" s="15"/>
    </row>
    <row r="76" spans="1:8">
      <c r="A76" s="33"/>
      <c r="B76" s="33"/>
      <c r="C76" s="23"/>
      <c r="D76" s="30"/>
      <c r="E76" s="121" t="s">
        <v>150</v>
      </c>
      <c r="F76" s="121"/>
      <c r="G76" s="121"/>
      <c r="H76" s="121"/>
    </row>
    <row r="77" spans="1:8">
      <c r="A77" s="121" t="s">
        <v>163</v>
      </c>
      <c r="B77" s="121"/>
      <c r="C77" s="121"/>
      <c r="D77" s="30"/>
      <c r="E77" s="121" t="s">
        <v>126</v>
      </c>
      <c r="F77" s="121"/>
      <c r="G77" s="121"/>
      <c r="H77" s="121"/>
    </row>
    <row r="78" spans="1:8">
      <c r="A78" s="18"/>
      <c r="B78" s="18"/>
      <c r="C78" s="22"/>
      <c r="D78" s="30"/>
      <c r="E78" s="34"/>
      <c r="F78" s="14"/>
      <c r="G78" s="4"/>
      <c r="H78" s="4"/>
    </row>
    <row r="79" spans="1:8">
      <c r="A79" s="18"/>
      <c r="B79" s="18"/>
      <c r="C79" s="22"/>
      <c r="D79" s="30"/>
      <c r="E79" s="34"/>
      <c r="F79" s="14"/>
      <c r="G79" s="4"/>
      <c r="H79" s="4"/>
    </row>
    <row r="80" spans="1:8">
      <c r="A80" s="18"/>
      <c r="B80" s="18"/>
      <c r="C80" s="22"/>
      <c r="D80" s="30"/>
      <c r="E80" s="34"/>
      <c r="F80" s="14"/>
      <c r="G80" s="4"/>
      <c r="H80" s="4"/>
    </row>
    <row r="81" spans="1:8">
      <c r="A81" s="123" t="s">
        <v>165</v>
      </c>
      <c r="B81" s="123"/>
      <c r="C81" s="123"/>
      <c r="D81" s="30"/>
      <c r="E81" s="123" t="s">
        <v>128</v>
      </c>
      <c r="F81" s="123"/>
      <c r="G81" s="123"/>
      <c r="H81" s="123"/>
    </row>
    <row r="82" spans="1:8">
      <c r="A82" s="121" t="s">
        <v>164</v>
      </c>
      <c r="B82" s="121"/>
      <c r="C82" s="121"/>
      <c r="D82" s="30"/>
      <c r="E82" s="121" t="s">
        <v>130</v>
      </c>
      <c r="F82" s="121"/>
      <c r="G82" s="121"/>
      <c r="H82" s="121"/>
    </row>
    <row r="83" spans="1:8">
      <c r="A83" s="33"/>
      <c r="B83" s="33"/>
      <c r="C83" s="23"/>
      <c r="D83" s="30"/>
      <c r="E83" s="34"/>
      <c r="F83" s="14"/>
      <c r="G83" s="4"/>
      <c r="H83" s="33"/>
    </row>
    <row r="84" spans="1:8">
      <c r="A84" s="121" t="s">
        <v>131</v>
      </c>
      <c r="B84" s="121"/>
      <c r="C84" s="121"/>
      <c r="D84" s="121"/>
      <c r="E84" s="121"/>
      <c r="F84" s="121"/>
      <c r="G84" s="121"/>
      <c r="H84" s="121"/>
    </row>
    <row r="85" spans="1:8">
      <c r="A85" s="121" t="s">
        <v>167</v>
      </c>
      <c r="B85" s="121"/>
      <c r="C85" s="121"/>
      <c r="D85" s="121"/>
      <c r="E85" s="121"/>
      <c r="F85" s="121"/>
      <c r="G85" s="121"/>
      <c r="H85" s="121"/>
    </row>
    <row r="86" spans="1:8">
      <c r="A86" s="4"/>
      <c r="B86" s="4"/>
      <c r="C86" s="34"/>
      <c r="D86" s="30"/>
      <c r="E86" s="34"/>
      <c r="F86" s="14"/>
      <c r="G86" s="4"/>
      <c r="H86" s="4"/>
    </row>
    <row r="87" spans="1:8">
      <c r="A87" s="4"/>
      <c r="B87" s="4"/>
      <c r="C87" s="34"/>
      <c r="D87" s="30"/>
      <c r="E87" s="34"/>
      <c r="F87" s="14"/>
      <c r="G87" s="4"/>
      <c r="H87" s="4"/>
    </row>
    <row r="88" spans="1:8">
      <c r="A88" s="4"/>
      <c r="B88" s="4"/>
      <c r="C88" s="34"/>
      <c r="D88" s="30"/>
      <c r="E88" s="34"/>
      <c r="F88" s="14"/>
      <c r="G88" s="4"/>
      <c r="H88" s="4"/>
    </row>
    <row r="89" spans="1:8">
      <c r="A89" s="33"/>
      <c r="B89" s="33"/>
      <c r="C89" s="23"/>
      <c r="D89" s="30"/>
      <c r="E89" s="34"/>
      <c r="F89" s="13"/>
      <c r="G89" s="33"/>
      <c r="H89" s="33"/>
    </row>
    <row r="90" spans="1:8">
      <c r="A90" s="123" t="s">
        <v>166</v>
      </c>
      <c r="B90" s="123"/>
      <c r="C90" s="123"/>
      <c r="D90" s="123"/>
      <c r="E90" s="123"/>
      <c r="F90" s="123"/>
      <c r="G90" s="123"/>
      <c r="H90" s="123"/>
    </row>
    <row r="91" spans="1:8">
      <c r="A91" s="121" t="s">
        <v>160</v>
      </c>
      <c r="B91" s="121"/>
      <c r="C91" s="121"/>
      <c r="D91" s="121"/>
      <c r="E91" s="121"/>
      <c r="F91" s="121"/>
      <c r="G91" s="121"/>
      <c r="H91" s="121"/>
    </row>
  </sheetData>
  <mergeCells count="81">
    <mergeCell ref="A90:H90"/>
    <mergeCell ref="A91:H91"/>
    <mergeCell ref="A81:C81"/>
    <mergeCell ref="E81:H81"/>
    <mergeCell ref="A82:C82"/>
    <mergeCell ref="E82:H82"/>
    <mergeCell ref="A84:H84"/>
    <mergeCell ref="A85:H85"/>
    <mergeCell ref="A77:C77"/>
    <mergeCell ref="E77:H77"/>
    <mergeCell ref="A64:B64"/>
    <mergeCell ref="A65:E65"/>
    <mergeCell ref="A66:H66"/>
    <mergeCell ref="A67:B67"/>
    <mergeCell ref="A68:B68"/>
    <mergeCell ref="A69:B69"/>
    <mergeCell ref="A70:E70"/>
    <mergeCell ref="A71:H71"/>
    <mergeCell ref="A72:E72"/>
    <mergeCell ref="A74:H74"/>
    <mergeCell ref="E76:H76"/>
    <mergeCell ref="A63:B63"/>
    <mergeCell ref="A52:B52"/>
    <mergeCell ref="A53:B53"/>
    <mergeCell ref="A54:B54"/>
    <mergeCell ref="A55:B55"/>
    <mergeCell ref="A56:B56"/>
    <mergeCell ref="A57:E57"/>
    <mergeCell ref="A58:H58"/>
    <mergeCell ref="A59:B59"/>
    <mergeCell ref="A60:B60"/>
    <mergeCell ref="A61:B61"/>
    <mergeCell ref="A62:B62"/>
    <mergeCell ref="A51:B51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39:B39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27:B27"/>
    <mergeCell ref="A16:H16"/>
    <mergeCell ref="A17:B17"/>
    <mergeCell ref="A18:B18"/>
    <mergeCell ref="A19:B19"/>
    <mergeCell ref="A20:E20"/>
    <mergeCell ref="A21:H21"/>
    <mergeCell ref="A22:B22"/>
    <mergeCell ref="A23:B23"/>
    <mergeCell ref="A24:B24"/>
    <mergeCell ref="A25:B25"/>
    <mergeCell ref="A26:B26"/>
    <mergeCell ref="A15:B15"/>
    <mergeCell ref="A1:H1"/>
    <mergeCell ref="A2:H2"/>
    <mergeCell ref="A3:H3"/>
    <mergeCell ref="A4:H4"/>
    <mergeCell ref="A5:H5"/>
    <mergeCell ref="A8:H8"/>
    <mergeCell ref="A9:H9"/>
    <mergeCell ref="A11:H11"/>
    <mergeCell ref="A12:H12"/>
    <mergeCell ref="A13:H13"/>
    <mergeCell ref="A14:B14"/>
  </mergeCells>
  <hyperlinks>
    <hyperlink ref="A5" r:id="rId1" display="mailto:dlhbanjarmasin@gmail.com"/>
  </hyperlinks>
  <pageMargins left="0.25" right="0.25" top="0.75" bottom="0.75" header="0.3" footer="0.3"/>
  <pageSetup paperSize="10000" scale="99" orientation="portrait" horizontalDpi="0" verticalDpi="0" r:id="rId2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91"/>
  <sheetViews>
    <sheetView tabSelected="1" view="pageBreakPreview" topLeftCell="A72" zoomScaleNormal="100" zoomScaleSheetLayoutView="100" workbookViewId="0">
      <selection activeCell="A85" sqref="A85:H85"/>
    </sheetView>
  </sheetViews>
  <sheetFormatPr defaultRowHeight="14.5"/>
  <cols>
    <col min="1" max="2" width="9.54296875" customWidth="1"/>
    <col min="3" max="3" width="31.26953125" customWidth="1"/>
    <col min="7" max="7" width="12.54296875" customWidth="1"/>
    <col min="8" max="8" width="14.81640625" customWidth="1"/>
  </cols>
  <sheetData>
    <row r="1" spans="1:8" ht="17.5">
      <c r="A1" s="92" t="s">
        <v>0</v>
      </c>
      <c r="B1" s="92"/>
      <c r="C1" s="92"/>
      <c r="D1" s="92"/>
      <c r="E1" s="92"/>
      <c r="F1" s="92"/>
      <c r="G1" s="92"/>
      <c r="H1" s="92"/>
    </row>
    <row r="2" spans="1:8" ht="22">
      <c r="A2" s="93" t="s">
        <v>1</v>
      </c>
      <c r="B2" s="93"/>
      <c r="C2" s="93"/>
      <c r="D2" s="93"/>
      <c r="E2" s="93"/>
      <c r="F2" s="93"/>
      <c r="G2" s="93"/>
      <c r="H2" s="93"/>
    </row>
    <row r="3" spans="1:8">
      <c r="A3" s="94" t="s">
        <v>2</v>
      </c>
      <c r="B3" s="94"/>
      <c r="C3" s="94"/>
      <c r="D3" s="94"/>
      <c r="E3" s="94"/>
      <c r="F3" s="94"/>
      <c r="G3" s="94"/>
      <c r="H3" s="94"/>
    </row>
    <row r="4" spans="1:8">
      <c r="A4" s="94" t="s">
        <v>3</v>
      </c>
      <c r="B4" s="94"/>
      <c r="C4" s="94"/>
      <c r="D4" s="94"/>
      <c r="E4" s="94"/>
      <c r="F4" s="94"/>
      <c r="G4" s="94"/>
      <c r="H4" s="94"/>
    </row>
    <row r="5" spans="1:8">
      <c r="A5" s="95" t="s">
        <v>4</v>
      </c>
      <c r="B5" s="95"/>
      <c r="C5" s="95"/>
      <c r="D5" s="95"/>
      <c r="E5" s="95"/>
      <c r="F5" s="95"/>
      <c r="G5" s="95"/>
      <c r="H5" s="95"/>
    </row>
    <row r="6" spans="1:8" ht="15" thickBot="1">
      <c r="A6" s="7"/>
      <c r="B6" s="8"/>
      <c r="C6" s="9"/>
      <c r="D6" s="9"/>
      <c r="E6" s="9"/>
      <c r="F6" s="55"/>
      <c r="G6" s="8"/>
      <c r="H6" s="8"/>
    </row>
    <row r="7" spans="1:8" ht="15" thickTop="1">
      <c r="A7" s="10"/>
      <c r="B7" s="11"/>
      <c r="C7" s="6"/>
      <c r="D7" s="6"/>
      <c r="E7" s="6"/>
      <c r="F7" s="47"/>
      <c r="G7" s="11"/>
      <c r="H7" s="11"/>
    </row>
    <row r="8" spans="1:8">
      <c r="A8" s="96" t="s">
        <v>5</v>
      </c>
      <c r="B8" s="96"/>
      <c r="C8" s="96"/>
      <c r="D8" s="96"/>
      <c r="E8" s="96"/>
      <c r="F8" s="96"/>
      <c r="G8" s="96"/>
      <c r="H8" s="96"/>
    </row>
    <row r="9" spans="1:8">
      <c r="A9" s="97" t="s">
        <v>137</v>
      </c>
      <c r="B9" s="97"/>
      <c r="C9" s="97"/>
      <c r="D9" s="97"/>
      <c r="E9" s="97"/>
      <c r="F9" s="97"/>
      <c r="G9" s="97"/>
      <c r="H9" s="97"/>
    </row>
    <row r="10" spans="1:8">
      <c r="A10" s="12"/>
      <c r="B10" s="12"/>
      <c r="C10" s="13"/>
      <c r="D10" s="13"/>
      <c r="E10" s="14"/>
      <c r="F10" s="13"/>
      <c r="G10" s="12"/>
      <c r="H10" s="12"/>
    </row>
    <row r="11" spans="1:8">
      <c r="A11" s="98" t="s">
        <v>151</v>
      </c>
      <c r="B11" s="98"/>
      <c r="C11" s="98"/>
      <c r="D11" s="98"/>
      <c r="E11" s="98"/>
      <c r="F11" s="98"/>
      <c r="G11" s="98"/>
      <c r="H11" s="98"/>
    </row>
    <row r="12" spans="1:8">
      <c r="A12" s="99" t="s">
        <v>8</v>
      </c>
      <c r="B12" s="99"/>
      <c r="C12" s="99"/>
      <c r="D12" s="99"/>
      <c r="E12" s="99"/>
      <c r="F12" s="99"/>
      <c r="G12" s="99"/>
      <c r="H12" s="99"/>
    </row>
    <row r="13" spans="1:8">
      <c r="A13" s="100" t="s">
        <v>142</v>
      </c>
      <c r="B13" s="100"/>
      <c r="C13" s="100"/>
      <c r="D13" s="100"/>
      <c r="E13" s="100"/>
      <c r="F13" s="100"/>
      <c r="G13" s="100"/>
      <c r="H13" s="100"/>
    </row>
    <row r="14" spans="1:8" ht="34.5">
      <c r="A14" s="91" t="s">
        <v>10</v>
      </c>
      <c r="B14" s="91"/>
      <c r="C14" s="25" t="s">
        <v>11</v>
      </c>
      <c r="D14" s="19" t="s">
        <v>12</v>
      </c>
      <c r="E14" s="26" t="s">
        <v>13</v>
      </c>
      <c r="F14" s="41" t="s">
        <v>14</v>
      </c>
      <c r="G14" s="20" t="s">
        <v>15</v>
      </c>
      <c r="H14" s="20" t="s">
        <v>16</v>
      </c>
    </row>
    <row r="15" spans="1:8">
      <c r="A15" s="91">
        <v>1</v>
      </c>
      <c r="B15" s="91"/>
      <c r="C15" s="25">
        <v>2</v>
      </c>
      <c r="D15" s="25">
        <v>3</v>
      </c>
      <c r="E15" s="27">
        <v>4</v>
      </c>
      <c r="F15" s="41">
        <v>5</v>
      </c>
      <c r="G15" s="20">
        <v>6</v>
      </c>
      <c r="H15" s="20">
        <v>7</v>
      </c>
    </row>
    <row r="16" spans="1:8">
      <c r="A16" s="102" t="s">
        <v>17</v>
      </c>
      <c r="B16" s="102"/>
      <c r="C16" s="102"/>
      <c r="D16" s="102"/>
      <c r="E16" s="102"/>
      <c r="F16" s="102"/>
      <c r="G16" s="102"/>
      <c r="H16" s="102"/>
    </row>
    <row r="17" spans="1:8">
      <c r="A17" s="103" t="s">
        <v>18</v>
      </c>
      <c r="B17" s="103"/>
      <c r="C17" s="42" t="s">
        <v>19</v>
      </c>
      <c r="D17" s="45">
        <v>45</v>
      </c>
      <c r="E17" s="37" t="s">
        <v>20</v>
      </c>
      <c r="F17" s="52">
        <v>20</v>
      </c>
      <c r="G17" s="56">
        <v>25300</v>
      </c>
      <c r="H17" s="44">
        <v>506000</v>
      </c>
    </row>
    <row r="18" spans="1:8">
      <c r="A18" s="104" t="s">
        <v>21</v>
      </c>
      <c r="B18" s="105"/>
      <c r="C18" s="42" t="s">
        <v>22</v>
      </c>
      <c r="D18" s="43">
        <v>1000</v>
      </c>
      <c r="E18" s="37" t="s">
        <v>20</v>
      </c>
      <c r="F18" s="52">
        <v>500</v>
      </c>
      <c r="G18" s="56">
        <v>5000</v>
      </c>
      <c r="H18" s="44">
        <v>2500000</v>
      </c>
    </row>
    <row r="19" spans="1:8">
      <c r="A19" s="103" t="s">
        <v>23</v>
      </c>
      <c r="B19" s="103"/>
      <c r="C19" s="42" t="s">
        <v>24</v>
      </c>
      <c r="D19" s="43">
        <v>490</v>
      </c>
      <c r="E19" s="37" t="s">
        <v>20</v>
      </c>
      <c r="F19" s="52">
        <v>300</v>
      </c>
      <c r="G19" s="56">
        <v>5000</v>
      </c>
      <c r="H19" s="44">
        <v>1500000</v>
      </c>
    </row>
    <row r="20" spans="1:8">
      <c r="A20" s="106" t="s">
        <v>25</v>
      </c>
      <c r="B20" s="107"/>
      <c r="C20" s="107"/>
      <c r="D20" s="107"/>
      <c r="E20" s="108"/>
      <c r="F20" s="57">
        <v>820</v>
      </c>
      <c r="G20" s="58">
        <v>35300</v>
      </c>
      <c r="H20" s="51">
        <v>4506000</v>
      </c>
    </row>
    <row r="21" spans="1:8">
      <c r="A21" s="109" t="s">
        <v>26</v>
      </c>
      <c r="B21" s="109"/>
      <c r="C21" s="109"/>
      <c r="D21" s="109"/>
      <c r="E21" s="109"/>
      <c r="F21" s="110"/>
      <c r="G21" s="109"/>
      <c r="H21" s="109"/>
    </row>
    <row r="22" spans="1:8">
      <c r="A22" s="111" t="s">
        <v>27</v>
      </c>
      <c r="B22" s="111"/>
      <c r="C22" s="17" t="s">
        <v>28</v>
      </c>
      <c r="D22" s="5">
        <v>5</v>
      </c>
      <c r="E22" s="59" t="s">
        <v>29</v>
      </c>
      <c r="F22" s="60">
        <v>4</v>
      </c>
      <c r="G22" s="48">
        <v>31635</v>
      </c>
      <c r="H22" s="2">
        <v>126540</v>
      </c>
    </row>
    <row r="23" spans="1:8">
      <c r="A23" s="111" t="s">
        <v>30</v>
      </c>
      <c r="B23" s="111"/>
      <c r="C23" s="17" t="s">
        <v>31</v>
      </c>
      <c r="D23" s="5">
        <v>10</v>
      </c>
      <c r="E23" s="59" t="s">
        <v>29</v>
      </c>
      <c r="F23" s="60">
        <v>6</v>
      </c>
      <c r="G23" s="48">
        <v>22755</v>
      </c>
      <c r="H23" s="2">
        <v>136530</v>
      </c>
    </row>
    <row r="24" spans="1:8">
      <c r="A24" s="111" t="s">
        <v>32</v>
      </c>
      <c r="B24" s="111"/>
      <c r="C24" s="17" t="s">
        <v>33</v>
      </c>
      <c r="D24" s="5">
        <v>10</v>
      </c>
      <c r="E24" s="59" t="s">
        <v>29</v>
      </c>
      <c r="F24" s="60">
        <v>10</v>
      </c>
      <c r="G24" s="48">
        <v>42735</v>
      </c>
      <c r="H24" s="2">
        <v>427350</v>
      </c>
    </row>
    <row r="25" spans="1:8">
      <c r="A25" s="111" t="s">
        <v>34</v>
      </c>
      <c r="B25" s="111"/>
      <c r="C25" s="17" t="s">
        <v>35</v>
      </c>
      <c r="D25" s="5">
        <v>51</v>
      </c>
      <c r="E25" s="59" t="s">
        <v>36</v>
      </c>
      <c r="F25" s="60">
        <v>20</v>
      </c>
      <c r="G25" s="48">
        <v>4662</v>
      </c>
      <c r="H25" s="2">
        <v>93240</v>
      </c>
    </row>
    <row r="26" spans="1:8">
      <c r="A26" s="111" t="s">
        <v>37</v>
      </c>
      <c r="B26" s="111"/>
      <c r="C26" s="17" t="s">
        <v>38</v>
      </c>
      <c r="D26" s="5">
        <v>10</v>
      </c>
      <c r="E26" s="59" t="s">
        <v>39</v>
      </c>
      <c r="F26" s="60">
        <v>3</v>
      </c>
      <c r="G26" s="48">
        <v>22200</v>
      </c>
      <c r="H26" s="2">
        <v>66600</v>
      </c>
    </row>
    <row r="27" spans="1:8">
      <c r="A27" s="101" t="s">
        <v>40</v>
      </c>
      <c r="B27" s="101"/>
      <c r="C27" s="17" t="s">
        <v>41</v>
      </c>
      <c r="D27" s="5">
        <v>5</v>
      </c>
      <c r="E27" s="59" t="s">
        <v>39</v>
      </c>
      <c r="F27" s="60">
        <v>1</v>
      </c>
      <c r="G27" s="48">
        <v>115440</v>
      </c>
      <c r="H27" s="2">
        <v>115440</v>
      </c>
    </row>
    <row r="28" spans="1:8">
      <c r="A28" s="111" t="s">
        <v>42</v>
      </c>
      <c r="B28" s="111"/>
      <c r="C28" s="17" t="s">
        <v>43</v>
      </c>
      <c r="D28" s="5">
        <v>50</v>
      </c>
      <c r="E28" s="59" t="s">
        <v>29</v>
      </c>
      <c r="F28" s="60">
        <v>9</v>
      </c>
      <c r="G28" s="48">
        <v>29970</v>
      </c>
      <c r="H28" s="2">
        <v>269730</v>
      </c>
    </row>
    <row r="29" spans="1:8">
      <c r="A29" s="111" t="s">
        <v>44</v>
      </c>
      <c r="B29" s="111"/>
      <c r="C29" s="17" t="s">
        <v>45</v>
      </c>
      <c r="D29" s="5">
        <v>25</v>
      </c>
      <c r="E29" s="59" t="s">
        <v>29</v>
      </c>
      <c r="F29" s="60">
        <v>11</v>
      </c>
      <c r="G29" s="48">
        <v>5883</v>
      </c>
      <c r="H29" s="2">
        <v>64713</v>
      </c>
    </row>
    <row r="30" spans="1:8">
      <c r="A30" s="111" t="s">
        <v>46</v>
      </c>
      <c r="B30" s="111"/>
      <c r="C30" s="17" t="s">
        <v>47</v>
      </c>
      <c r="D30" s="5">
        <v>51</v>
      </c>
      <c r="E30" s="59" t="s">
        <v>36</v>
      </c>
      <c r="F30" s="60">
        <v>8</v>
      </c>
      <c r="G30" s="48">
        <v>5717</v>
      </c>
      <c r="H30" s="2">
        <v>45736</v>
      </c>
    </row>
    <row r="31" spans="1:8">
      <c r="A31" s="111" t="s">
        <v>48</v>
      </c>
      <c r="B31" s="111"/>
      <c r="C31" s="17" t="s">
        <v>49</v>
      </c>
      <c r="D31" s="5">
        <v>50</v>
      </c>
      <c r="E31" s="59" t="s">
        <v>29</v>
      </c>
      <c r="F31" s="60">
        <v>48</v>
      </c>
      <c r="G31" s="48">
        <v>46898</v>
      </c>
      <c r="H31" s="2">
        <v>2251104</v>
      </c>
    </row>
    <row r="32" spans="1:8">
      <c r="A32" s="111" t="s">
        <v>50</v>
      </c>
      <c r="B32" s="111"/>
      <c r="C32" s="17" t="s">
        <v>51</v>
      </c>
      <c r="D32" s="5">
        <v>50</v>
      </c>
      <c r="E32" s="59" t="s">
        <v>36</v>
      </c>
      <c r="F32" s="60">
        <v>38</v>
      </c>
      <c r="G32" s="48">
        <v>11100</v>
      </c>
      <c r="H32" s="2">
        <v>421800</v>
      </c>
    </row>
    <row r="33" spans="1:8">
      <c r="A33" s="111" t="s">
        <v>52</v>
      </c>
      <c r="B33" s="111"/>
      <c r="C33" s="17" t="s">
        <v>53</v>
      </c>
      <c r="D33" s="5">
        <v>10</v>
      </c>
      <c r="E33" s="59" t="s">
        <v>29</v>
      </c>
      <c r="F33" s="60">
        <v>8</v>
      </c>
      <c r="G33" s="48">
        <v>23310</v>
      </c>
      <c r="H33" s="2">
        <v>186480</v>
      </c>
    </row>
    <row r="34" spans="1:8">
      <c r="A34" s="111" t="s">
        <v>54</v>
      </c>
      <c r="B34" s="111"/>
      <c r="C34" s="17" t="s">
        <v>55</v>
      </c>
      <c r="D34" s="5">
        <v>3</v>
      </c>
      <c r="E34" s="59" t="s">
        <v>29</v>
      </c>
      <c r="F34" s="60">
        <v>3</v>
      </c>
      <c r="G34" s="48">
        <v>13320</v>
      </c>
      <c r="H34" s="2">
        <v>39960</v>
      </c>
    </row>
    <row r="35" spans="1:8">
      <c r="A35" s="111" t="s">
        <v>56</v>
      </c>
      <c r="B35" s="111"/>
      <c r="C35" s="17" t="s">
        <v>57</v>
      </c>
      <c r="D35" s="5">
        <v>25</v>
      </c>
      <c r="E35" s="59" t="s">
        <v>36</v>
      </c>
      <c r="F35" s="60">
        <v>3</v>
      </c>
      <c r="G35" s="48">
        <v>28860</v>
      </c>
      <c r="H35" s="2">
        <v>86580</v>
      </c>
    </row>
    <row r="36" spans="1:8">
      <c r="A36" s="111" t="s">
        <v>58</v>
      </c>
      <c r="B36" s="111"/>
      <c r="C36" s="17" t="s">
        <v>59</v>
      </c>
      <c r="D36" s="5">
        <v>25</v>
      </c>
      <c r="E36" s="59" t="s">
        <v>36</v>
      </c>
      <c r="F36" s="60">
        <v>5</v>
      </c>
      <c r="G36" s="48">
        <v>19148</v>
      </c>
      <c r="H36" s="2">
        <v>95740</v>
      </c>
    </row>
    <row r="37" spans="1:8">
      <c r="A37" s="111" t="s">
        <v>60</v>
      </c>
      <c r="B37" s="111"/>
      <c r="C37" s="17" t="s">
        <v>61</v>
      </c>
      <c r="D37" s="5">
        <v>59</v>
      </c>
      <c r="E37" s="59" t="s">
        <v>36</v>
      </c>
      <c r="F37" s="60">
        <v>18</v>
      </c>
      <c r="G37" s="48">
        <v>4662</v>
      </c>
      <c r="H37" s="2">
        <v>83916</v>
      </c>
    </row>
    <row r="38" spans="1:8">
      <c r="A38" s="111" t="s">
        <v>62</v>
      </c>
      <c r="B38" s="111"/>
      <c r="C38" s="17" t="s">
        <v>63</v>
      </c>
      <c r="D38" s="5">
        <v>24</v>
      </c>
      <c r="E38" s="59" t="s">
        <v>36</v>
      </c>
      <c r="F38" s="60">
        <v>1</v>
      </c>
      <c r="G38" s="48">
        <v>5550</v>
      </c>
      <c r="H38" s="2">
        <v>5550</v>
      </c>
    </row>
    <row r="39" spans="1:8">
      <c r="A39" s="114" t="s">
        <v>64</v>
      </c>
      <c r="B39" s="114"/>
      <c r="C39" s="54" t="s">
        <v>65</v>
      </c>
      <c r="D39" s="5">
        <v>25</v>
      </c>
      <c r="E39" s="59" t="s">
        <v>36</v>
      </c>
      <c r="F39" s="62">
        <v>3</v>
      </c>
      <c r="G39" s="48">
        <v>13154</v>
      </c>
      <c r="H39" s="2">
        <v>39462</v>
      </c>
    </row>
    <row r="40" spans="1:8">
      <c r="A40" s="115" t="s">
        <v>66</v>
      </c>
      <c r="B40" s="116"/>
      <c r="C40" s="50" t="s">
        <v>67</v>
      </c>
      <c r="D40" s="5">
        <v>26</v>
      </c>
      <c r="E40" s="59" t="s">
        <v>36</v>
      </c>
      <c r="F40" s="62">
        <v>12</v>
      </c>
      <c r="G40" s="48">
        <v>10545</v>
      </c>
      <c r="H40" s="2">
        <v>126540</v>
      </c>
    </row>
    <row r="41" spans="1:8">
      <c r="A41" s="111" t="s">
        <v>68</v>
      </c>
      <c r="B41" s="111"/>
      <c r="C41" s="17" t="s">
        <v>69</v>
      </c>
      <c r="D41" s="5">
        <v>12</v>
      </c>
      <c r="E41" s="59" t="s">
        <v>29</v>
      </c>
      <c r="F41" s="60">
        <v>4</v>
      </c>
      <c r="G41" s="48">
        <v>11100</v>
      </c>
      <c r="H41" s="2">
        <v>44400</v>
      </c>
    </row>
    <row r="42" spans="1:8">
      <c r="A42" s="112" t="s">
        <v>70</v>
      </c>
      <c r="B42" s="113"/>
      <c r="C42" s="49" t="s">
        <v>71</v>
      </c>
      <c r="D42" s="5">
        <v>12</v>
      </c>
      <c r="E42" s="59" t="s">
        <v>29</v>
      </c>
      <c r="F42" s="60">
        <v>2</v>
      </c>
      <c r="G42" s="48">
        <v>12210</v>
      </c>
      <c r="H42" s="2">
        <v>24420</v>
      </c>
    </row>
    <row r="43" spans="1:8">
      <c r="A43" s="111" t="s">
        <v>72</v>
      </c>
      <c r="B43" s="111"/>
      <c r="C43" s="17" t="s">
        <v>73</v>
      </c>
      <c r="D43" s="5">
        <v>24</v>
      </c>
      <c r="E43" s="59" t="s">
        <v>29</v>
      </c>
      <c r="F43" s="60">
        <v>6</v>
      </c>
      <c r="G43" s="48">
        <v>11655</v>
      </c>
      <c r="H43" s="2">
        <v>69930</v>
      </c>
    </row>
    <row r="44" spans="1:8">
      <c r="A44" s="111" t="s">
        <v>74</v>
      </c>
      <c r="B44" s="111"/>
      <c r="C44" s="17" t="s">
        <v>75</v>
      </c>
      <c r="D44" s="5">
        <v>50</v>
      </c>
      <c r="E44" s="59" t="s">
        <v>29</v>
      </c>
      <c r="F44" s="60">
        <v>30</v>
      </c>
      <c r="G44" s="48">
        <v>22200</v>
      </c>
      <c r="H44" s="2">
        <v>666000</v>
      </c>
    </row>
    <row r="45" spans="1:8">
      <c r="A45" s="112" t="s">
        <v>76</v>
      </c>
      <c r="B45" s="113"/>
      <c r="C45" s="49" t="s">
        <v>77</v>
      </c>
      <c r="D45" s="5">
        <v>21</v>
      </c>
      <c r="E45" s="59" t="s">
        <v>29</v>
      </c>
      <c r="F45" s="60">
        <v>11</v>
      </c>
      <c r="G45" s="48">
        <v>35798</v>
      </c>
      <c r="H45" s="2">
        <v>393778</v>
      </c>
    </row>
    <row r="46" spans="1:8">
      <c r="A46" s="111" t="s">
        <v>78</v>
      </c>
      <c r="B46" s="111"/>
      <c r="C46" s="17" t="s">
        <v>79</v>
      </c>
      <c r="D46" s="5">
        <v>100</v>
      </c>
      <c r="E46" s="59" t="s">
        <v>80</v>
      </c>
      <c r="F46" s="60">
        <v>70</v>
      </c>
      <c r="G46" s="48">
        <v>46065</v>
      </c>
      <c r="H46" s="2">
        <v>3224550</v>
      </c>
    </row>
    <row r="47" spans="1:8">
      <c r="A47" s="111" t="s">
        <v>81</v>
      </c>
      <c r="B47" s="111"/>
      <c r="C47" s="49" t="s">
        <v>82</v>
      </c>
      <c r="D47" s="5">
        <v>11</v>
      </c>
      <c r="E47" s="59" t="s">
        <v>29</v>
      </c>
      <c r="F47" s="62">
        <v>5</v>
      </c>
      <c r="G47" s="48">
        <v>10545</v>
      </c>
      <c r="H47" s="2">
        <v>52725</v>
      </c>
    </row>
    <row r="48" spans="1:8">
      <c r="A48" s="111" t="s">
        <v>83</v>
      </c>
      <c r="B48" s="111"/>
      <c r="C48" s="17" t="s">
        <v>84</v>
      </c>
      <c r="D48" s="5">
        <v>100</v>
      </c>
      <c r="E48" s="59" t="s">
        <v>36</v>
      </c>
      <c r="F48" s="60">
        <v>100</v>
      </c>
      <c r="G48" s="2">
        <v>4125</v>
      </c>
      <c r="H48" s="2">
        <v>412500</v>
      </c>
    </row>
    <row r="49" spans="1:8">
      <c r="A49" s="111" t="s">
        <v>85</v>
      </c>
      <c r="B49" s="111"/>
      <c r="C49" s="17" t="s">
        <v>86</v>
      </c>
      <c r="D49" s="5">
        <v>160</v>
      </c>
      <c r="E49" s="59" t="s">
        <v>36</v>
      </c>
      <c r="F49" s="60">
        <v>160</v>
      </c>
      <c r="G49" s="61">
        <v>85000</v>
      </c>
      <c r="H49" s="2">
        <v>13600000</v>
      </c>
    </row>
    <row r="50" spans="1:8">
      <c r="A50" s="111" t="s">
        <v>87</v>
      </c>
      <c r="B50" s="111"/>
      <c r="C50" s="17" t="s">
        <v>88</v>
      </c>
      <c r="D50" s="5">
        <v>25</v>
      </c>
      <c r="E50" s="59" t="s">
        <v>36</v>
      </c>
      <c r="F50" s="60">
        <v>500</v>
      </c>
      <c r="G50" s="48">
        <v>23310</v>
      </c>
      <c r="H50" s="2">
        <v>11655000</v>
      </c>
    </row>
    <row r="51" spans="1:8">
      <c r="A51" s="115" t="s">
        <v>89</v>
      </c>
      <c r="B51" s="116"/>
      <c r="C51" s="50" t="s">
        <v>90</v>
      </c>
      <c r="D51" s="5">
        <v>10</v>
      </c>
      <c r="E51" s="59" t="s">
        <v>29</v>
      </c>
      <c r="F51" s="63">
        <v>2</v>
      </c>
      <c r="G51" s="48">
        <v>57720</v>
      </c>
      <c r="H51" s="2">
        <v>115440</v>
      </c>
    </row>
    <row r="52" spans="1:8">
      <c r="A52" s="111" t="s">
        <v>91</v>
      </c>
      <c r="B52" s="111"/>
      <c r="C52" s="17" t="s">
        <v>92</v>
      </c>
      <c r="D52" s="5">
        <v>10</v>
      </c>
      <c r="E52" s="59" t="s">
        <v>29</v>
      </c>
      <c r="F52" s="60">
        <v>5</v>
      </c>
      <c r="G52" s="48">
        <v>4662</v>
      </c>
      <c r="H52" s="2">
        <v>23310</v>
      </c>
    </row>
    <row r="53" spans="1:8">
      <c r="A53" s="111" t="s">
        <v>93</v>
      </c>
      <c r="B53" s="111"/>
      <c r="C53" s="17" t="s">
        <v>94</v>
      </c>
      <c r="D53" s="5">
        <v>5</v>
      </c>
      <c r="E53" s="59" t="s">
        <v>29</v>
      </c>
      <c r="F53" s="60">
        <v>3</v>
      </c>
      <c r="G53" s="48">
        <v>17594</v>
      </c>
      <c r="H53" s="2">
        <v>52782</v>
      </c>
    </row>
    <row r="54" spans="1:8">
      <c r="A54" s="111" t="s">
        <v>95</v>
      </c>
      <c r="B54" s="111"/>
      <c r="C54" s="17" t="s">
        <v>96</v>
      </c>
      <c r="D54" s="5">
        <v>14</v>
      </c>
      <c r="E54" s="59" t="s">
        <v>29</v>
      </c>
      <c r="F54" s="60">
        <v>5</v>
      </c>
      <c r="G54" s="48">
        <v>18870</v>
      </c>
      <c r="H54" s="2">
        <v>94350</v>
      </c>
    </row>
    <row r="55" spans="1:8">
      <c r="A55" s="111" t="s">
        <v>97</v>
      </c>
      <c r="B55" s="111"/>
      <c r="C55" s="17" t="s">
        <v>98</v>
      </c>
      <c r="D55" s="5">
        <v>12</v>
      </c>
      <c r="E55" s="59" t="s">
        <v>29</v>
      </c>
      <c r="F55" s="60">
        <v>4</v>
      </c>
      <c r="G55" s="48">
        <v>23310</v>
      </c>
      <c r="H55" s="2">
        <v>93240</v>
      </c>
    </row>
    <row r="56" spans="1:8">
      <c r="A56" s="111" t="s">
        <v>99</v>
      </c>
      <c r="B56" s="111"/>
      <c r="C56" s="17" t="s">
        <v>100</v>
      </c>
      <c r="D56" s="5">
        <v>50</v>
      </c>
      <c r="E56" s="59" t="s">
        <v>80</v>
      </c>
      <c r="F56" s="60">
        <v>50</v>
      </c>
      <c r="G56" s="65">
        <v>50505</v>
      </c>
      <c r="H56" s="2">
        <v>2525250</v>
      </c>
    </row>
    <row r="57" spans="1:8">
      <c r="A57" s="117" t="s">
        <v>25</v>
      </c>
      <c r="B57" s="117"/>
      <c r="C57" s="117"/>
      <c r="D57" s="117"/>
      <c r="E57" s="117"/>
      <c r="F57" s="64">
        <v>1168</v>
      </c>
      <c r="G57" s="3">
        <v>892213</v>
      </c>
      <c r="H57" s="3">
        <v>37730686</v>
      </c>
    </row>
    <row r="58" spans="1:8">
      <c r="A58" s="109" t="s">
        <v>101</v>
      </c>
      <c r="B58" s="109"/>
      <c r="C58" s="109"/>
      <c r="D58" s="109"/>
      <c r="E58" s="109"/>
      <c r="F58" s="110"/>
      <c r="G58" s="109"/>
      <c r="H58" s="109"/>
    </row>
    <row r="59" spans="1:8">
      <c r="A59" s="111" t="s">
        <v>102</v>
      </c>
      <c r="B59" s="111"/>
      <c r="C59" s="17" t="s">
        <v>103</v>
      </c>
      <c r="D59" s="5">
        <v>10</v>
      </c>
      <c r="E59" s="59" t="s">
        <v>36</v>
      </c>
      <c r="F59" s="62">
        <v>3</v>
      </c>
      <c r="G59" s="65">
        <v>23255</v>
      </c>
      <c r="H59" s="2">
        <v>69765</v>
      </c>
    </row>
    <row r="60" spans="1:8">
      <c r="A60" s="111" t="s">
        <v>104</v>
      </c>
      <c r="B60" s="111"/>
      <c r="C60" s="17" t="s">
        <v>105</v>
      </c>
      <c r="D60" s="5">
        <v>11</v>
      </c>
      <c r="E60" s="59" t="s">
        <v>36</v>
      </c>
      <c r="F60" s="62">
        <v>4</v>
      </c>
      <c r="G60" s="65">
        <v>25086</v>
      </c>
      <c r="H60" s="2">
        <v>100344</v>
      </c>
    </row>
    <row r="61" spans="1:8">
      <c r="A61" s="111" t="s">
        <v>106</v>
      </c>
      <c r="B61" s="111"/>
      <c r="C61" s="17" t="s">
        <v>107</v>
      </c>
      <c r="D61" s="5">
        <v>10</v>
      </c>
      <c r="E61" s="59" t="s">
        <v>36</v>
      </c>
      <c r="F61" s="60">
        <v>4</v>
      </c>
      <c r="G61" s="65">
        <v>24032</v>
      </c>
      <c r="H61" s="2">
        <v>96128</v>
      </c>
    </row>
    <row r="62" spans="1:8">
      <c r="A62" s="119" t="s">
        <v>108</v>
      </c>
      <c r="B62" s="119"/>
      <c r="C62" s="17" t="s">
        <v>109</v>
      </c>
      <c r="D62" s="5">
        <v>5</v>
      </c>
      <c r="E62" s="59" t="s">
        <v>110</v>
      </c>
      <c r="F62" s="60">
        <v>5</v>
      </c>
      <c r="G62" s="66">
        <v>124459</v>
      </c>
      <c r="H62" s="2">
        <v>622295</v>
      </c>
    </row>
    <row r="63" spans="1:8">
      <c r="A63" s="112" t="s">
        <v>111</v>
      </c>
      <c r="B63" s="113"/>
      <c r="C63" s="17" t="s">
        <v>112</v>
      </c>
      <c r="D63" s="5">
        <v>10</v>
      </c>
      <c r="E63" s="59" t="s">
        <v>110</v>
      </c>
      <c r="F63" s="60">
        <v>4</v>
      </c>
      <c r="G63" s="65">
        <v>73538</v>
      </c>
      <c r="H63" s="2">
        <v>294152</v>
      </c>
    </row>
    <row r="64" spans="1:8">
      <c r="A64" s="111" t="s">
        <v>113</v>
      </c>
      <c r="B64" s="111"/>
      <c r="C64" s="17" t="s">
        <v>114</v>
      </c>
      <c r="D64" s="5">
        <v>453</v>
      </c>
      <c r="E64" s="59" t="s">
        <v>110</v>
      </c>
      <c r="F64" s="60">
        <v>50</v>
      </c>
      <c r="G64" s="66">
        <v>70000</v>
      </c>
      <c r="H64" s="2">
        <v>3500000</v>
      </c>
    </row>
    <row r="65" spans="1:8">
      <c r="A65" s="117" t="s">
        <v>25</v>
      </c>
      <c r="B65" s="117"/>
      <c r="C65" s="117"/>
      <c r="D65" s="117"/>
      <c r="E65" s="117"/>
      <c r="F65" s="64">
        <v>70</v>
      </c>
      <c r="G65" s="3">
        <v>340370</v>
      </c>
      <c r="H65" s="3">
        <v>4682684</v>
      </c>
    </row>
    <row r="66" spans="1:8">
      <c r="A66" s="118" t="s">
        <v>115</v>
      </c>
      <c r="B66" s="118"/>
      <c r="C66" s="118"/>
      <c r="D66" s="118"/>
      <c r="E66" s="118"/>
      <c r="F66" s="118"/>
      <c r="G66" s="118"/>
      <c r="H66" s="118"/>
    </row>
    <row r="67" spans="1:8">
      <c r="A67" s="120" t="s">
        <v>116</v>
      </c>
      <c r="B67" s="120"/>
      <c r="C67" s="35" t="s">
        <v>117</v>
      </c>
      <c r="D67" s="36">
        <v>11</v>
      </c>
      <c r="E67" s="37" t="s">
        <v>39</v>
      </c>
      <c r="F67" s="53">
        <v>9</v>
      </c>
      <c r="G67" s="38">
        <v>191250</v>
      </c>
      <c r="H67" s="38">
        <v>1721250</v>
      </c>
    </row>
    <row r="68" spans="1:8">
      <c r="A68" s="103" t="s">
        <v>118</v>
      </c>
      <c r="B68" s="103"/>
      <c r="C68" s="35" t="s">
        <v>119</v>
      </c>
      <c r="D68" s="36">
        <v>11</v>
      </c>
      <c r="E68" s="37" t="s">
        <v>29</v>
      </c>
      <c r="F68" s="53">
        <v>9</v>
      </c>
      <c r="G68" s="38">
        <v>188750</v>
      </c>
      <c r="H68" s="38">
        <v>1698750</v>
      </c>
    </row>
    <row r="69" spans="1:8">
      <c r="A69" s="104" t="s">
        <v>120</v>
      </c>
      <c r="B69" s="105"/>
      <c r="C69" s="35" t="s">
        <v>121</v>
      </c>
      <c r="D69" s="36"/>
      <c r="E69" s="37" t="s">
        <v>29</v>
      </c>
      <c r="F69" s="36">
        <v>900</v>
      </c>
      <c r="G69" s="38">
        <v>177000.6</v>
      </c>
      <c r="H69" s="38">
        <v>159300540</v>
      </c>
    </row>
    <row r="70" spans="1:8">
      <c r="A70" s="117" t="s">
        <v>25</v>
      </c>
      <c r="B70" s="117"/>
      <c r="C70" s="117"/>
      <c r="D70" s="117"/>
      <c r="E70" s="117"/>
      <c r="F70" s="39">
        <v>918</v>
      </c>
      <c r="G70" s="3">
        <v>557000.6</v>
      </c>
      <c r="H70" s="3">
        <v>162720540</v>
      </c>
    </row>
    <row r="71" spans="1:8">
      <c r="A71" s="122" t="s">
        <v>122</v>
      </c>
      <c r="B71" s="122"/>
      <c r="C71" s="122"/>
      <c r="D71" s="122"/>
      <c r="E71" s="122"/>
      <c r="F71" s="122"/>
      <c r="G71" s="122"/>
      <c r="H71" s="122"/>
    </row>
    <row r="72" spans="1:8">
      <c r="A72" s="117" t="s">
        <v>25</v>
      </c>
      <c r="B72" s="117"/>
      <c r="C72" s="117"/>
      <c r="D72" s="117"/>
      <c r="E72" s="117"/>
      <c r="F72" s="40">
        <v>2976</v>
      </c>
      <c r="G72" s="3">
        <v>1824883.6</v>
      </c>
      <c r="H72" s="3">
        <v>209639910</v>
      </c>
    </row>
    <row r="73" spans="1:8">
      <c r="A73" s="46"/>
      <c r="B73" s="46"/>
      <c r="C73" s="30"/>
      <c r="D73" s="30"/>
      <c r="E73" s="32"/>
      <c r="F73" s="21"/>
      <c r="G73" s="31"/>
      <c r="H73" s="31"/>
    </row>
    <row r="74" spans="1:8">
      <c r="A74" s="99" t="s">
        <v>123</v>
      </c>
      <c r="B74" s="99"/>
      <c r="C74" s="99"/>
      <c r="D74" s="99"/>
      <c r="E74" s="99"/>
      <c r="F74" s="99"/>
      <c r="G74" s="99"/>
      <c r="H74" s="99"/>
    </row>
    <row r="75" spans="1:8">
      <c r="A75" s="15"/>
      <c r="B75" s="15"/>
      <c r="C75" s="16"/>
      <c r="D75" s="21"/>
      <c r="E75" s="16"/>
      <c r="F75" s="16"/>
      <c r="G75" s="15"/>
      <c r="H75" s="15"/>
    </row>
    <row r="76" spans="1:8">
      <c r="A76" s="33"/>
      <c r="B76" s="33"/>
      <c r="C76" s="23"/>
      <c r="D76" s="30"/>
      <c r="E76" s="121" t="s">
        <v>193</v>
      </c>
      <c r="F76" s="121"/>
      <c r="G76" s="121"/>
      <c r="H76" s="121"/>
    </row>
    <row r="77" spans="1:8">
      <c r="A77" s="121" t="s">
        <v>163</v>
      </c>
      <c r="B77" s="121"/>
      <c r="C77" s="121"/>
      <c r="D77" s="30"/>
      <c r="E77" s="121" t="s">
        <v>126</v>
      </c>
      <c r="F77" s="121"/>
      <c r="G77" s="121"/>
      <c r="H77" s="121"/>
    </row>
    <row r="78" spans="1:8">
      <c r="A78" s="18"/>
      <c r="B78" s="18"/>
      <c r="C78" s="22"/>
      <c r="D78" s="30"/>
      <c r="E78" s="34"/>
      <c r="F78" s="14"/>
      <c r="G78" s="4"/>
      <c r="H78" s="4"/>
    </row>
    <row r="79" spans="1:8">
      <c r="A79" s="18"/>
      <c r="B79" s="18"/>
      <c r="C79" s="22"/>
      <c r="D79" s="30"/>
      <c r="E79" s="34"/>
      <c r="F79" s="14"/>
      <c r="G79" s="4"/>
      <c r="H79" s="4"/>
    </row>
    <row r="80" spans="1:8">
      <c r="A80" s="18"/>
      <c r="B80" s="18"/>
      <c r="C80" s="22"/>
      <c r="D80" s="30"/>
      <c r="E80" s="34"/>
      <c r="F80" s="14"/>
      <c r="G80" s="4"/>
      <c r="H80" s="4"/>
    </row>
    <row r="81" spans="1:8">
      <c r="A81" s="123" t="s">
        <v>165</v>
      </c>
      <c r="B81" s="123"/>
      <c r="C81" s="123"/>
      <c r="D81" s="30"/>
      <c r="E81" s="123" t="s">
        <v>128</v>
      </c>
      <c r="F81" s="123"/>
      <c r="G81" s="123"/>
      <c r="H81" s="123"/>
    </row>
    <row r="82" spans="1:8">
      <c r="A82" s="121" t="s">
        <v>164</v>
      </c>
      <c r="B82" s="121"/>
      <c r="C82" s="121"/>
      <c r="D82" s="30"/>
      <c r="E82" s="121" t="s">
        <v>130</v>
      </c>
      <c r="F82" s="121"/>
      <c r="G82" s="121"/>
      <c r="H82" s="121"/>
    </row>
    <row r="83" spans="1:8">
      <c r="A83" s="33"/>
      <c r="B83" s="33"/>
      <c r="C83" s="23"/>
      <c r="D83" s="30"/>
      <c r="E83" s="34"/>
      <c r="F83" s="14"/>
      <c r="G83" s="4"/>
      <c r="H83" s="33"/>
    </row>
    <row r="84" spans="1:8">
      <c r="A84" s="121" t="s">
        <v>131</v>
      </c>
      <c r="B84" s="121"/>
      <c r="C84" s="121"/>
      <c r="D84" s="121"/>
      <c r="E84" s="121"/>
      <c r="F84" s="121"/>
      <c r="G84" s="121"/>
      <c r="H84" s="121"/>
    </row>
    <row r="85" spans="1:8">
      <c r="A85" s="121" t="s">
        <v>132</v>
      </c>
      <c r="B85" s="121"/>
      <c r="C85" s="121"/>
      <c r="D85" s="121"/>
      <c r="E85" s="121"/>
      <c r="F85" s="121"/>
      <c r="G85" s="121"/>
      <c r="H85" s="121"/>
    </row>
    <row r="86" spans="1:8">
      <c r="A86" s="4"/>
      <c r="B86" s="4"/>
      <c r="C86" s="34"/>
      <c r="D86" s="30"/>
      <c r="E86" s="34"/>
      <c r="F86" s="14"/>
      <c r="G86" s="4"/>
      <c r="H86" s="4"/>
    </row>
    <row r="87" spans="1:8">
      <c r="A87" s="4"/>
      <c r="B87" s="4"/>
      <c r="C87" s="34"/>
      <c r="D87" s="30"/>
      <c r="E87" s="34"/>
      <c r="F87" s="14"/>
      <c r="G87" s="4"/>
      <c r="H87" s="4"/>
    </row>
    <row r="88" spans="1:8">
      <c r="A88" s="4"/>
      <c r="B88" s="4"/>
      <c r="C88" s="34"/>
      <c r="D88" s="30"/>
      <c r="E88" s="34"/>
      <c r="F88" s="14"/>
      <c r="G88" s="4"/>
      <c r="H88" s="4"/>
    </row>
    <row r="89" spans="1:8">
      <c r="A89" s="33"/>
      <c r="B89" s="33"/>
      <c r="C89" s="23"/>
      <c r="D89" s="30"/>
      <c r="E89" s="34"/>
      <c r="F89" s="13"/>
      <c r="G89" s="33"/>
      <c r="H89" s="33"/>
    </row>
    <row r="90" spans="1:8">
      <c r="A90" s="123" t="s">
        <v>161</v>
      </c>
      <c r="B90" s="123"/>
      <c r="C90" s="123"/>
      <c r="D90" s="123"/>
      <c r="E90" s="123"/>
      <c r="F90" s="123"/>
      <c r="G90" s="123"/>
      <c r="H90" s="123"/>
    </row>
    <row r="91" spans="1:8">
      <c r="A91" s="121" t="s">
        <v>162</v>
      </c>
      <c r="B91" s="121"/>
      <c r="C91" s="121"/>
      <c r="D91" s="121"/>
      <c r="E91" s="121"/>
      <c r="F91" s="121"/>
      <c r="G91" s="121"/>
      <c r="H91" s="121"/>
    </row>
  </sheetData>
  <mergeCells count="81">
    <mergeCell ref="A90:H90"/>
    <mergeCell ref="A91:H91"/>
    <mergeCell ref="A81:C81"/>
    <mergeCell ref="E81:H81"/>
    <mergeCell ref="A82:C82"/>
    <mergeCell ref="E82:H82"/>
    <mergeCell ref="A84:H84"/>
    <mergeCell ref="A85:H85"/>
    <mergeCell ref="A77:C77"/>
    <mergeCell ref="E77:H77"/>
    <mergeCell ref="A64:B64"/>
    <mergeCell ref="A65:E65"/>
    <mergeCell ref="A66:H66"/>
    <mergeCell ref="A67:B67"/>
    <mergeCell ref="A68:B68"/>
    <mergeCell ref="A69:B69"/>
    <mergeCell ref="A70:E70"/>
    <mergeCell ref="A71:H71"/>
    <mergeCell ref="A72:E72"/>
    <mergeCell ref="A74:H74"/>
    <mergeCell ref="E76:H76"/>
    <mergeCell ref="A63:B63"/>
    <mergeCell ref="A52:B52"/>
    <mergeCell ref="A53:B53"/>
    <mergeCell ref="A54:B54"/>
    <mergeCell ref="A55:B55"/>
    <mergeCell ref="A56:B56"/>
    <mergeCell ref="A57:E57"/>
    <mergeCell ref="A58:H58"/>
    <mergeCell ref="A59:B59"/>
    <mergeCell ref="A60:B60"/>
    <mergeCell ref="A61:B61"/>
    <mergeCell ref="A62:B62"/>
    <mergeCell ref="A51:B51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39:B39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27:B27"/>
    <mergeCell ref="A16:H16"/>
    <mergeCell ref="A17:B17"/>
    <mergeCell ref="A18:B18"/>
    <mergeCell ref="A19:B19"/>
    <mergeCell ref="A20:E20"/>
    <mergeCell ref="A21:H21"/>
    <mergeCell ref="A22:B22"/>
    <mergeCell ref="A23:B23"/>
    <mergeCell ref="A24:B24"/>
    <mergeCell ref="A25:B25"/>
    <mergeCell ref="A26:B26"/>
    <mergeCell ref="A15:B15"/>
    <mergeCell ref="A1:H1"/>
    <mergeCell ref="A2:H2"/>
    <mergeCell ref="A3:H3"/>
    <mergeCell ref="A4:H4"/>
    <mergeCell ref="A5:H5"/>
    <mergeCell ref="A8:H8"/>
    <mergeCell ref="A9:H9"/>
    <mergeCell ref="A11:H11"/>
    <mergeCell ref="A12:H12"/>
    <mergeCell ref="A13:H13"/>
    <mergeCell ref="A14:B14"/>
  </mergeCells>
  <hyperlinks>
    <hyperlink ref="A5" r:id="rId1" display="mailto:dlhbanjarmasin@gmail.com"/>
  </hyperlinks>
  <pageMargins left="0.25" right="0.25" top="0.75" bottom="0.75" header="0.3" footer="0.3"/>
  <pageSetup paperSize="10000" scale="98" orientation="portrait" horizontalDpi="0" verticalDpi="0" r:id="rId2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91"/>
  <sheetViews>
    <sheetView view="pageBreakPreview" topLeftCell="A67" zoomScaleNormal="100" zoomScaleSheetLayoutView="100" workbookViewId="0">
      <selection activeCell="A14" sqref="A14:B14"/>
    </sheetView>
  </sheetViews>
  <sheetFormatPr defaultRowHeight="14.5"/>
  <cols>
    <col min="1" max="2" width="9.6328125" customWidth="1"/>
    <col min="3" max="3" width="31.08984375" customWidth="1"/>
    <col min="7" max="7" width="11.81640625" customWidth="1"/>
    <col min="8" max="8" width="15.1796875" customWidth="1"/>
  </cols>
  <sheetData>
    <row r="1" spans="1:8" ht="17.5">
      <c r="A1" s="92" t="s">
        <v>0</v>
      </c>
      <c r="B1" s="92"/>
      <c r="C1" s="92"/>
      <c r="D1" s="92"/>
      <c r="E1" s="92"/>
      <c r="F1" s="92"/>
      <c r="G1" s="92"/>
      <c r="H1" s="92"/>
    </row>
    <row r="2" spans="1:8" ht="22">
      <c r="A2" s="93" t="s">
        <v>1</v>
      </c>
      <c r="B2" s="93"/>
      <c r="C2" s="93"/>
      <c r="D2" s="93"/>
      <c r="E2" s="93"/>
      <c r="F2" s="93"/>
      <c r="G2" s="93"/>
      <c r="H2" s="93"/>
    </row>
    <row r="3" spans="1:8">
      <c r="A3" s="94" t="s">
        <v>2</v>
      </c>
      <c r="B3" s="94"/>
      <c r="C3" s="94"/>
      <c r="D3" s="94"/>
      <c r="E3" s="94"/>
      <c r="F3" s="94"/>
      <c r="G3" s="94"/>
      <c r="H3" s="94"/>
    </row>
    <row r="4" spans="1:8">
      <c r="A4" s="94" t="s">
        <v>3</v>
      </c>
      <c r="B4" s="94"/>
      <c r="C4" s="94"/>
      <c r="D4" s="94"/>
      <c r="E4" s="94"/>
      <c r="F4" s="94"/>
      <c r="G4" s="94"/>
      <c r="H4" s="94"/>
    </row>
    <row r="5" spans="1:8">
      <c r="A5" s="95" t="s">
        <v>4</v>
      </c>
      <c r="B5" s="95"/>
      <c r="C5" s="95"/>
      <c r="D5" s="95"/>
      <c r="E5" s="95"/>
      <c r="F5" s="95"/>
      <c r="G5" s="95"/>
      <c r="H5" s="95"/>
    </row>
    <row r="6" spans="1:8" ht="15" thickBot="1">
      <c r="A6" s="7"/>
      <c r="B6" s="8"/>
      <c r="C6" s="9"/>
      <c r="D6" s="9"/>
      <c r="E6" s="9"/>
      <c r="F6" s="55"/>
      <c r="G6" s="8"/>
      <c r="H6" s="8"/>
    </row>
    <row r="7" spans="1:8" ht="15" thickTop="1">
      <c r="A7" s="10"/>
      <c r="B7" s="11"/>
      <c r="C7" s="6"/>
      <c r="D7" s="6"/>
      <c r="E7" s="6"/>
      <c r="F7" s="47"/>
      <c r="G7" s="11"/>
      <c r="H7" s="11"/>
    </row>
    <row r="8" spans="1:8">
      <c r="A8" s="96" t="s">
        <v>5</v>
      </c>
      <c r="B8" s="96"/>
      <c r="C8" s="96"/>
      <c r="D8" s="96"/>
      <c r="E8" s="96"/>
      <c r="F8" s="96"/>
      <c r="G8" s="96"/>
      <c r="H8" s="96"/>
    </row>
    <row r="9" spans="1:8">
      <c r="A9" s="97" t="s">
        <v>137</v>
      </c>
      <c r="B9" s="97"/>
      <c r="C9" s="97"/>
      <c r="D9" s="97"/>
      <c r="E9" s="97"/>
      <c r="F9" s="97"/>
      <c r="G9" s="97"/>
      <c r="H9" s="97"/>
    </row>
    <row r="10" spans="1:8">
      <c r="A10" s="12"/>
      <c r="B10" s="12"/>
      <c r="C10" s="13"/>
      <c r="D10" s="13"/>
      <c r="E10" s="14"/>
      <c r="F10" s="13"/>
      <c r="G10" s="12"/>
      <c r="H10" s="12"/>
    </row>
    <row r="11" spans="1:8">
      <c r="A11" s="98" t="s">
        <v>152</v>
      </c>
      <c r="B11" s="98"/>
      <c r="C11" s="98"/>
      <c r="D11" s="98"/>
      <c r="E11" s="98"/>
      <c r="F11" s="98"/>
      <c r="G11" s="98"/>
      <c r="H11" s="98"/>
    </row>
    <row r="12" spans="1:8">
      <c r="A12" s="99" t="s">
        <v>8</v>
      </c>
      <c r="B12" s="99"/>
      <c r="C12" s="99"/>
      <c r="D12" s="99"/>
      <c r="E12" s="99"/>
      <c r="F12" s="99"/>
      <c r="G12" s="99"/>
      <c r="H12" s="99"/>
    </row>
    <row r="13" spans="1:8">
      <c r="A13" s="100" t="s">
        <v>142</v>
      </c>
      <c r="B13" s="100"/>
      <c r="C13" s="100"/>
      <c r="D13" s="100"/>
      <c r="E13" s="100"/>
      <c r="F13" s="100"/>
      <c r="G13" s="100"/>
      <c r="H13" s="100"/>
    </row>
    <row r="14" spans="1:8" ht="34.5">
      <c r="A14" s="91" t="s">
        <v>10</v>
      </c>
      <c r="B14" s="91"/>
      <c r="C14" s="25" t="s">
        <v>11</v>
      </c>
      <c r="D14" s="19" t="s">
        <v>12</v>
      </c>
      <c r="E14" s="26" t="s">
        <v>13</v>
      </c>
      <c r="F14" s="41" t="s">
        <v>14</v>
      </c>
      <c r="G14" s="20" t="s">
        <v>15</v>
      </c>
      <c r="H14" s="20" t="s">
        <v>16</v>
      </c>
    </row>
    <row r="15" spans="1:8">
      <c r="A15" s="91">
        <v>1</v>
      </c>
      <c r="B15" s="91"/>
      <c r="C15" s="25">
        <v>2</v>
      </c>
      <c r="D15" s="25">
        <v>3</v>
      </c>
      <c r="E15" s="27">
        <v>4</v>
      </c>
      <c r="F15" s="41">
        <v>5</v>
      </c>
      <c r="G15" s="20">
        <v>6</v>
      </c>
      <c r="H15" s="20">
        <v>7</v>
      </c>
    </row>
    <row r="16" spans="1:8">
      <c r="A16" s="102" t="s">
        <v>17</v>
      </c>
      <c r="B16" s="102"/>
      <c r="C16" s="102"/>
      <c r="D16" s="102"/>
      <c r="E16" s="102"/>
      <c r="F16" s="102"/>
      <c r="G16" s="102"/>
      <c r="H16" s="102"/>
    </row>
    <row r="17" spans="1:8">
      <c r="A17" s="103" t="s">
        <v>18</v>
      </c>
      <c r="B17" s="103"/>
      <c r="C17" s="42" t="s">
        <v>19</v>
      </c>
      <c r="D17" s="45">
        <v>45</v>
      </c>
      <c r="E17" s="37" t="s">
        <v>20</v>
      </c>
      <c r="F17" s="52">
        <v>20</v>
      </c>
      <c r="G17" s="56">
        <v>25300</v>
      </c>
      <c r="H17" s="44">
        <v>506000</v>
      </c>
    </row>
    <row r="18" spans="1:8">
      <c r="A18" s="104" t="s">
        <v>21</v>
      </c>
      <c r="B18" s="105"/>
      <c r="C18" s="42" t="s">
        <v>22</v>
      </c>
      <c r="D18" s="43">
        <v>1000</v>
      </c>
      <c r="E18" s="37" t="s">
        <v>20</v>
      </c>
      <c r="F18" s="52">
        <v>500</v>
      </c>
      <c r="G18" s="56">
        <v>5000</v>
      </c>
      <c r="H18" s="44">
        <v>2500000</v>
      </c>
    </row>
    <row r="19" spans="1:8">
      <c r="A19" s="103" t="s">
        <v>23</v>
      </c>
      <c r="B19" s="103"/>
      <c r="C19" s="42" t="s">
        <v>24</v>
      </c>
      <c r="D19" s="43">
        <v>490</v>
      </c>
      <c r="E19" s="37" t="s">
        <v>20</v>
      </c>
      <c r="F19" s="52">
        <v>300</v>
      </c>
      <c r="G19" s="56">
        <v>5000</v>
      </c>
      <c r="H19" s="44">
        <v>1500000</v>
      </c>
    </row>
    <row r="20" spans="1:8">
      <c r="A20" s="106" t="s">
        <v>25</v>
      </c>
      <c r="B20" s="107"/>
      <c r="C20" s="107"/>
      <c r="D20" s="107"/>
      <c r="E20" s="108"/>
      <c r="F20" s="57">
        <v>820</v>
      </c>
      <c r="G20" s="58">
        <v>35300</v>
      </c>
      <c r="H20" s="51">
        <v>4506000</v>
      </c>
    </row>
    <row r="21" spans="1:8">
      <c r="A21" s="109" t="s">
        <v>26</v>
      </c>
      <c r="B21" s="109"/>
      <c r="C21" s="109"/>
      <c r="D21" s="109"/>
      <c r="E21" s="109"/>
      <c r="F21" s="110"/>
      <c r="G21" s="109"/>
      <c r="H21" s="109"/>
    </row>
    <row r="22" spans="1:8">
      <c r="A22" s="111" t="s">
        <v>27</v>
      </c>
      <c r="B22" s="111"/>
      <c r="C22" s="17" t="s">
        <v>28</v>
      </c>
      <c r="D22" s="5">
        <v>5</v>
      </c>
      <c r="E22" s="59" t="s">
        <v>29</v>
      </c>
      <c r="F22" s="60">
        <v>4</v>
      </c>
      <c r="G22" s="48">
        <v>31635</v>
      </c>
      <c r="H22" s="2">
        <v>126540</v>
      </c>
    </row>
    <row r="23" spans="1:8">
      <c r="A23" s="111" t="s">
        <v>30</v>
      </c>
      <c r="B23" s="111"/>
      <c r="C23" s="17" t="s">
        <v>31</v>
      </c>
      <c r="D23" s="5">
        <v>10</v>
      </c>
      <c r="E23" s="59" t="s">
        <v>29</v>
      </c>
      <c r="F23" s="60">
        <v>6</v>
      </c>
      <c r="G23" s="48">
        <v>22755</v>
      </c>
      <c r="H23" s="2">
        <v>136530</v>
      </c>
    </row>
    <row r="24" spans="1:8">
      <c r="A24" s="111" t="s">
        <v>32</v>
      </c>
      <c r="B24" s="111"/>
      <c r="C24" s="17" t="s">
        <v>33</v>
      </c>
      <c r="D24" s="5">
        <v>10</v>
      </c>
      <c r="E24" s="59" t="s">
        <v>29</v>
      </c>
      <c r="F24" s="60">
        <v>10</v>
      </c>
      <c r="G24" s="48">
        <v>42735</v>
      </c>
      <c r="H24" s="2">
        <v>427350</v>
      </c>
    </row>
    <row r="25" spans="1:8">
      <c r="A25" s="111" t="s">
        <v>34</v>
      </c>
      <c r="B25" s="111"/>
      <c r="C25" s="17" t="s">
        <v>35</v>
      </c>
      <c r="D25" s="5">
        <v>51</v>
      </c>
      <c r="E25" s="59" t="s">
        <v>36</v>
      </c>
      <c r="F25" s="60">
        <v>20</v>
      </c>
      <c r="G25" s="48">
        <v>4662</v>
      </c>
      <c r="H25" s="2">
        <v>93240</v>
      </c>
    </row>
    <row r="26" spans="1:8">
      <c r="A26" s="111" t="s">
        <v>37</v>
      </c>
      <c r="B26" s="111"/>
      <c r="C26" s="17" t="s">
        <v>38</v>
      </c>
      <c r="D26" s="5">
        <v>10</v>
      </c>
      <c r="E26" s="59" t="s">
        <v>39</v>
      </c>
      <c r="F26" s="60">
        <v>3</v>
      </c>
      <c r="G26" s="48">
        <v>22200</v>
      </c>
      <c r="H26" s="2">
        <v>66600</v>
      </c>
    </row>
    <row r="27" spans="1:8">
      <c r="A27" s="101" t="s">
        <v>40</v>
      </c>
      <c r="B27" s="101"/>
      <c r="C27" s="17" t="s">
        <v>41</v>
      </c>
      <c r="D27" s="5">
        <v>5</v>
      </c>
      <c r="E27" s="59" t="s">
        <v>39</v>
      </c>
      <c r="F27" s="60">
        <v>1</v>
      </c>
      <c r="G27" s="48">
        <v>115440</v>
      </c>
      <c r="H27" s="2">
        <v>115440</v>
      </c>
    </row>
    <row r="28" spans="1:8">
      <c r="A28" s="111" t="s">
        <v>42</v>
      </c>
      <c r="B28" s="111"/>
      <c r="C28" s="17" t="s">
        <v>43</v>
      </c>
      <c r="D28" s="5">
        <v>50</v>
      </c>
      <c r="E28" s="59" t="s">
        <v>29</v>
      </c>
      <c r="F28" s="60">
        <v>9</v>
      </c>
      <c r="G28" s="48">
        <v>29970</v>
      </c>
      <c r="H28" s="2">
        <v>269730</v>
      </c>
    </row>
    <row r="29" spans="1:8">
      <c r="A29" s="111" t="s">
        <v>44</v>
      </c>
      <c r="B29" s="111"/>
      <c r="C29" s="17" t="s">
        <v>45</v>
      </c>
      <c r="D29" s="5">
        <v>25</v>
      </c>
      <c r="E29" s="59" t="s">
        <v>29</v>
      </c>
      <c r="F29" s="60">
        <v>11</v>
      </c>
      <c r="G29" s="48">
        <v>5883</v>
      </c>
      <c r="H29" s="2">
        <v>64713</v>
      </c>
    </row>
    <row r="30" spans="1:8">
      <c r="A30" s="111" t="s">
        <v>46</v>
      </c>
      <c r="B30" s="111"/>
      <c r="C30" s="17" t="s">
        <v>47</v>
      </c>
      <c r="D30" s="5">
        <v>51</v>
      </c>
      <c r="E30" s="59" t="s">
        <v>36</v>
      </c>
      <c r="F30" s="60">
        <v>8</v>
      </c>
      <c r="G30" s="48">
        <v>5717</v>
      </c>
      <c r="H30" s="2">
        <v>45736</v>
      </c>
    </row>
    <row r="31" spans="1:8">
      <c r="A31" s="111" t="s">
        <v>48</v>
      </c>
      <c r="B31" s="111"/>
      <c r="C31" s="17" t="s">
        <v>49</v>
      </c>
      <c r="D31" s="5">
        <v>50</v>
      </c>
      <c r="E31" s="59" t="s">
        <v>29</v>
      </c>
      <c r="F31" s="60">
        <v>48</v>
      </c>
      <c r="G31" s="48">
        <v>46898</v>
      </c>
      <c r="H31" s="2">
        <v>2251104</v>
      </c>
    </row>
    <row r="32" spans="1:8">
      <c r="A32" s="111" t="s">
        <v>50</v>
      </c>
      <c r="B32" s="111"/>
      <c r="C32" s="17" t="s">
        <v>51</v>
      </c>
      <c r="D32" s="5">
        <v>50</v>
      </c>
      <c r="E32" s="59" t="s">
        <v>36</v>
      </c>
      <c r="F32" s="60">
        <v>38</v>
      </c>
      <c r="G32" s="48">
        <v>11100</v>
      </c>
      <c r="H32" s="2">
        <v>421800</v>
      </c>
    </row>
    <row r="33" spans="1:8">
      <c r="A33" s="111" t="s">
        <v>52</v>
      </c>
      <c r="B33" s="111"/>
      <c r="C33" s="17" t="s">
        <v>53</v>
      </c>
      <c r="D33" s="5">
        <v>10</v>
      </c>
      <c r="E33" s="59" t="s">
        <v>29</v>
      </c>
      <c r="F33" s="60">
        <v>8</v>
      </c>
      <c r="G33" s="48">
        <v>23310</v>
      </c>
      <c r="H33" s="2">
        <v>186480</v>
      </c>
    </row>
    <row r="34" spans="1:8">
      <c r="A34" s="111" t="s">
        <v>54</v>
      </c>
      <c r="B34" s="111"/>
      <c r="C34" s="17" t="s">
        <v>55</v>
      </c>
      <c r="D34" s="5">
        <v>3</v>
      </c>
      <c r="E34" s="59" t="s">
        <v>29</v>
      </c>
      <c r="F34" s="60">
        <v>3</v>
      </c>
      <c r="G34" s="48">
        <v>13320</v>
      </c>
      <c r="H34" s="2">
        <v>39960</v>
      </c>
    </row>
    <row r="35" spans="1:8">
      <c r="A35" s="111" t="s">
        <v>56</v>
      </c>
      <c r="B35" s="111"/>
      <c r="C35" s="17" t="s">
        <v>57</v>
      </c>
      <c r="D35" s="5">
        <v>25</v>
      </c>
      <c r="E35" s="59" t="s">
        <v>36</v>
      </c>
      <c r="F35" s="60">
        <v>3</v>
      </c>
      <c r="G35" s="48">
        <v>28860</v>
      </c>
      <c r="H35" s="2">
        <v>86580</v>
      </c>
    </row>
    <row r="36" spans="1:8">
      <c r="A36" s="111" t="s">
        <v>58</v>
      </c>
      <c r="B36" s="111"/>
      <c r="C36" s="17" t="s">
        <v>59</v>
      </c>
      <c r="D36" s="5">
        <v>25</v>
      </c>
      <c r="E36" s="59" t="s">
        <v>36</v>
      </c>
      <c r="F36" s="60">
        <v>5</v>
      </c>
      <c r="G36" s="48">
        <v>19148</v>
      </c>
      <c r="H36" s="2">
        <v>95740</v>
      </c>
    </row>
    <row r="37" spans="1:8">
      <c r="A37" s="111" t="s">
        <v>60</v>
      </c>
      <c r="B37" s="111"/>
      <c r="C37" s="17" t="s">
        <v>61</v>
      </c>
      <c r="D37" s="5">
        <v>59</v>
      </c>
      <c r="E37" s="59" t="s">
        <v>36</v>
      </c>
      <c r="F37" s="60">
        <v>18</v>
      </c>
      <c r="G37" s="48">
        <v>4662</v>
      </c>
      <c r="H37" s="2">
        <v>83916</v>
      </c>
    </row>
    <row r="38" spans="1:8">
      <c r="A38" s="111" t="s">
        <v>62</v>
      </c>
      <c r="B38" s="111"/>
      <c r="C38" s="17" t="s">
        <v>63</v>
      </c>
      <c r="D38" s="5">
        <v>24</v>
      </c>
      <c r="E38" s="59" t="s">
        <v>36</v>
      </c>
      <c r="F38" s="60">
        <v>1</v>
      </c>
      <c r="G38" s="48">
        <v>5550</v>
      </c>
      <c r="H38" s="2">
        <v>5550</v>
      </c>
    </row>
    <row r="39" spans="1:8">
      <c r="A39" s="114" t="s">
        <v>64</v>
      </c>
      <c r="B39" s="114"/>
      <c r="C39" s="54" t="s">
        <v>65</v>
      </c>
      <c r="D39" s="5">
        <v>25</v>
      </c>
      <c r="E39" s="59" t="s">
        <v>36</v>
      </c>
      <c r="F39" s="62">
        <v>3</v>
      </c>
      <c r="G39" s="48">
        <v>13154</v>
      </c>
      <c r="H39" s="2">
        <v>39462</v>
      </c>
    </row>
    <row r="40" spans="1:8">
      <c r="A40" s="115" t="s">
        <v>66</v>
      </c>
      <c r="B40" s="116"/>
      <c r="C40" s="50" t="s">
        <v>67</v>
      </c>
      <c r="D40" s="5">
        <v>26</v>
      </c>
      <c r="E40" s="59" t="s">
        <v>36</v>
      </c>
      <c r="F40" s="62">
        <v>12</v>
      </c>
      <c r="G40" s="48">
        <v>10545</v>
      </c>
      <c r="H40" s="2">
        <v>126540</v>
      </c>
    </row>
    <row r="41" spans="1:8">
      <c r="A41" s="111" t="s">
        <v>68</v>
      </c>
      <c r="B41" s="111"/>
      <c r="C41" s="17" t="s">
        <v>69</v>
      </c>
      <c r="D41" s="5">
        <v>12</v>
      </c>
      <c r="E41" s="59" t="s">
        <v>29</v>
      </c>
      <c r="F41" s="60">
        <v>4</v>
      </c>
      <c r="G41" s="48">
        <v>11100</v>
      </c>
      <c r="H41" s="2">
        <v>44400</v>
      </c>
    </row>
    <row r="42" spans="1:8">
      <c r="A42" s="112" t="s">
        <v>70</v>
      </c>
      <c r="B42" s="113"/>
      <c r="C42" s="49" t="s">
        <v>71</v>
      </c>
      <c r="D42" s="5">
        <v>12</v>
      </c>
      <c r="E42" s="59" t="s">
        <v>29</v>
      </c>
      <c r="F42" s="60">
        <v>2</v>
      </c>
      <c r="G42" s="48">
        <v>12210</v>
      </c>
      <c r="H42" s="2">
        <v>24420</v>
      </c>
    </row>
    <row r="43" spans="1:8">
      <c r="A43" s="111" t="s">
        <v>72</v>
      </c>
      <c r="B43" s="111"/>
      <c r="C43" s="17" t="s">
        <v>73</v>
      </c>
      <c r="D43" s="5">
        <v>24</v>
      </c>
      <c r="E43" s="59" t="s">
        <v>29</v>
      </c>
      <c r="F43" s="60">
        <v>6</v>
      </c>
      <c r="G43" s="48">
        <v>11655</v>
      </c>
      <c r="H43" s="2">
        <v>69930</v>
      </c>
    </row>
    <row r="44" spans="1:8">
      <c r="A44" s="111" t="s">
        <v>74</v>
      </c>
      <c r="B44" s="111"/>
      <c r="C44" s="17" t="s">
        <v>75</v>
      </c>
      <c r="D44" s="5">
        <v>50</v>
      </c>
      <c r="E44" s="59" t="s">
        <v>29</v>
      </c>
      <c r="F44" s="60">
        <v>30</v>
      </c>
      <c r="G44" s="48">
        <v>22200</v>
      </c>
      <c r="H44" s="2">
        <v>666000</v>
      </c>
    </row>
    <row r="45" spans="1:8">
      <c r="A45" s="112" t="s">
        <v>76</v>
      </c>
      <c r="B45" s="113"/>
      <c r="C45" s="49" t="s">
        <v>77</v>
      </c>
      <c r="D45" s="5">
        <v>21</v>
      </c>
      <c r="E45" s="59" t="s">
        <v>29</v>
      </c>
      <c r="F45" s="60">
        <v>11</v>
      </c>
      <c r="G45" s="48">
        <v>35798</v>
      </c>
      <c r="H45" s="2">
        <v>393778</v>
      </c>
    </row>
    <row r="46" spans="1:8">
      <c r="A46" s="111" t="s">
        <v>78</v>
      </c>
      <c r="B46" s="111"/>
      <c r="C46" s="17" t="s">
        <v>79</v>
      </c>
      <c r="D46" s="5">
        <v>100</v>
      </c>
      <c r="E46" s="59" t="s">
        <v>80</v>
      </c>
      <c r="F46" s="60">
        <v>70</v>
      </c>
      <c r="G46" s="48">
        <v>46065</v>
      </c>
      <c r="H46" s="2">
        <v>3224550</v>
      </c>
    </row>
    <row r="47" spans="1:8">
      <c r="A47" s="111" t="s">
        <v>81</v>
      </c>
      <c r="B47" s="111"/>
      <c r="C47" s="49" t="s">
        <v>82</v>
      </c>
      <c r="D47" s="5">
        <v>11</v>
      </c>
      <c r="E47" s="59" t="s">
        <v>29</v>
      </c>
      <c r="F47" s="62">
        <v>5</v>
      </c>
      <c r="G47" s="48">
        <v>10545</v>
      </c>
      <c r="H47" s="2">
        <v>52725</v>
      </c>
    </row>
    <row r="48" spans="1:8">
      <c r="A48" s="111" t="s">
        <v>83</v>
      </c>
      <c r="B48" s="111"/>
      <c r="C48" s="17" t="s">
        <v>84</v>
      </c>
      <c r="D48" s="5">
        <v>100</v>
      </c>
      <c r="E48" s="59" t="s">
        <v>36</v>
      </c>
      <c r="F48" s="60">
        <v>100</v>
      </c>
      <c r="G48" s="2">
        <v>4125</v>
      </c>
      <c r="H48" s="2">
        <v>412500</v>
      </c>
    </row>
    <row r="49" spans="1:8">
      <c r="A49" s="111" t="s">
        <v>85</v>
      </c>
      <c r="B49" s="111"/>
      <c r="C49" s="17" t="s">
        <v>86</v>
      </c>
      <c r="D49" s="5">
        <v>160</v>
      </c>
      <c r="E49" s="59" t="s">
        <v>36</v>
      </c>
      <c r="F49" s="60">
        <v>160</v>
      </c>
      <c r="G49" s="61">
        <v>85000</v>
      </c>
      <c r="H49" s="2">
        <v>13600000</v>
      </c>
    </row>
    <row r="50" spans="1:8">
      <c r="A50" s="111" t="s">
        <v>87</v>
      </c>
      <c r="B50" s="111"/>
      <c r="C50" s="17" t="s">
        <v>88</v>
      </c>
      <c r="D50" s="5">
        <v>25</v>
      </c>
      <c r="E50" s="59" t="s">
        <v>36</v>
      </c>
      <c r="F50" s="60">
        <v>500</v>
      </c>
      <c r="G50" s="48">
        <v>23310</v>
      </c>
      <c r="H50" s="2">
        <v>11655000</v>
      </c>
    </row>
    <row r="51" spans="1:8">
      <c r="A51" s="115" t="s">
        <v>89</v>
      </c>
      <c r="B51" s="116"/>
      <c r="C51" s="50" t="s">
        <v>90</v>
      </c>
      <c r="D51" s="5">
        <v>10</v>
      </c>
      <c r="E51" s="59" t="s">
        <v>29</v>
      </c>
      <c r="F51" s="63">
        <v>2</v>
      </c>
      <c r="G51" s="48">
        <v>57720</v>
      </c>
      <c r="H51" s="2">
        <v>115440</v>
      </c>
    </row>
    <row r="52" spans="1:8">
      <c r="A52" s="111" t="s">
        <v>91</v>
      </c>
      <c r="B52" s="111"/>
      <c r="C52" s="17" t="s">
        <v>92</v>
      </c>
      <c r="D52" s="5">
        <v>10</v>
      </c>
      <c r="E52" s="59" t="s">
        <v>29</v>
      </c>
      <c r="F52" s="60">
        <v>5</v>
      </c>
      <c r="G52" s="48">
        <v>4662</v>
      </c>
      <c r="H52" s="2">
        <v>23310</v>
      </c>
    </row>
    <row r="53" spans="1:8">
      <c r="A53" s="111" t="s">
        <v>93</v>
      </c>
      <c r="B53" s="111"/>
      <c r="C53" s="17" t="s">
        <v>94</v>
      </c>
      <c r="D53" s="5">
        <v>5</v>
      </c>
      <c r="E53" s="59" t="s">
        <v>29</v>
      </c>
      <c r="F53" s="60">
        <v>3</v>
      </c>
      <c r="G53" s="48">
        <v>17594</v>
      </c>
      <c r="H53" s="2">
        <v>52782</v>
      </c>
    </row>
    <row r="54" spans="1:8">
      <c r="A54" s="111" t="s">
        <v>95</v>
      </c>
      <c r="B54" s="111"/>
      <c r="C54" s="17" t="s">
        <v>96</v>
      </c>
      <c r="D54" s="5">
        <v>14</v>
      </c>
      <c r="E54" s="59" t="s">
        <v>29</v>
      </c>
      <c r="F54" s="60">
        <v>5</v>
      </c>
      <c r="G54" s="48">
        <v>18870</v>
      </c>
      <c r="H54" s="2">
        <v>94350</v>
      </c>
    </row>
    <row r="55" spans="1:8">
      <c r="A55" s="111" t="s">
        <v>97</v>
      </c>
      <c r="B55" s="111"/>
      <c r="C55" s="17" t="s">
        <v>98</v>
      </c>
      <c r="D55" s="5">
        <v>12</v>
      </c>
      <c r="E55" s="59" t="s">
        <v>29</v>
      </c>
      <c r="F55" s="60">
        <v>4</v>
      </c>
      <c r="G55" s="48">
        <v>23310</v>
      </c>
      <c r="H55" s="2">
        <v>93240</v>
      </c>
    </row>
    <row r="56" spans="1:8">
      <c r="A56" s="111" t="s">
        <v>99</v>
      </c>
      <c r="B56" s="111"/>
      <c r="C56" s="17" t="s">
        <v>100</v>
      </c>
      <c r="D56" s="5">
        <v>50</v>
      </c>
      <c r="E56" s="59" t="s">
        <v>80</v>
      </c>
      <c r="F56" s="60">
        <v>50</v>
      </c>
      <c r="G56" s="65">
        <v>50505</v>
      </c>
      <c r="H56" s="2">
        <v>2525250</v>
      </c>
    </row>
    <row r="57" spans="1:8">
      <c r="A57" s="117" t="s">
        <v>25</v>
      </c>
      <c r="B57" s="117"/>
      <c r="C57" s="117"/>
      <c r="D57" s="117"/>
      <c r="E57" s="117"/>
      <c r="F57" s="64">
        <v>1168</v>
      </c>
      <c r="G57" s="3">
        <v>892213</v>
      </c>
      <c r="H57" s="3">
        <v>37730686</v>
      </c>
    </row>
    <row r="58" spans="1:8">
      <c r="A58" s="109" t="s">
        <v>101</v>
      </c>
      <c r="B58" s="109"/>
      <c r="C58" s="109"/>
      <c r="D58" s="109"/>
      <c r="E58" s="109"/>
      <c r="F58" s="110"/>
      <c r="G58" s="109"/>
      <c r="H58" s="109"/>
    </row>
    <row r="59" spans="1:8">
      <c r="A59" s="111" t="s">
        <v>102</v>
      </c>
      <c r="B59" s="111"/>
      <c r="C59" s="17" t="s">
        <v>103</v>
      </c>
      <c r="D59" s="5">
        <v>10</v>
      </c>
      <c r="E59" s="59" t="s">
        <v>36</v>
      </c>
      <c r="F59" s="62">
        <v>3</v>
      </c>
      <c r="G59" s="65">
        <v>23255</v>
      </c>
      <c r="H59" s="2">
        <v>69765</v>
      </c>
    </row>
    <row r="60" spans="1:8">
      <c r="A60" s="111" t="s">
        <v>104</v>
      </c>
      <c r="B60" s="111"/>
      <c r="C60" s="17" t="s">
        <v>105</v>
      </c>
      <c r="D60" s="5">
        <v>11</v>
      </c>
      <c r="E60" s="59" t="s">
        <v>36</v>
      </c>
      <c r="F60" s="62">
        <v>4</v>
      </c>
      <c r="G60" s="65">
        <v>25086</v>
      </c>
      <c r="H60" s="2">
        <v>100344</v>
      </c>
    </row>
    <row r="61" spans="1:8">
      <c r="A61" s="111" t="s">
        <v>106</v>
      </c>
      <c r="B61" s="111"/>
      <c r="C61" s="17" t="s">
        <v>107</v>
      </c>
      <c r="D61" s="5">
        <v>10</v>
      </c>
      <c r="E61" s="59" t="s">
        <v>36</v>
      </c>
      <c r="F61" s="60">
        <v>4</v>
      </c>
      <c r="G61" s="65">
        <v>24032</v>
      </c>
      <c r="H61" s="2">
        <v>96128</v>
      </c>
    </row>
    <row r="62" spans="1:8">
      <c r="A62" s="119" t="s">
        <v>108</v>
      </c>
      <c r="B62" s="119"/>
      <c r="C62" s="17" t="s">
        <v>109</v>
      </c>
      <c r="D62" s="5">
        <v>5</v>
      </c>
      <c r="E62" s="59" t="s">
        <v>110</v>
      </c>
      <c r="F62" s="60">
        <v>5</v>
      </c>
      <c r="G62" s="66">
        <v>124459</v>
      </c>
      <c r="H62" s="2">
        <v>622295</v>
      </c>
    </row>
    <row r="63" spans="1:8">
      <c r="A63" s="112" t="s">
        <v>111</v>
      </c>
      <c r="B63" s="113"/>
      <c r="C63" s="17" t="s">
        <v>112</v>
      </c>
      <c r="D63" s="5">
        <v>10</v>
      </c>
      <c r="E63" s="59" t="s">
        <v>110</v>
      </c>
      <c r="F63" s="60">
        <v>4</v>
      </c>
      <c r="G63" s="65">
        <v>73538</v>
      </c>
      <c r="H63" s="2">
        <v>294152</v>
      </c>
    </row>
    <row r="64" spans="1:8">
      <c r="A64" s="111" t="s">
        <v>113</v>
      </c>
      <c r="B64" s="111"/>
      <c r="C64" s="17" t="s">
        <v>114</v>
      </c>
      <c r="D64" s="5">
        <v>453</v>
      </c>
      <c r="E64" s="59" t="s">
        <v>110</v>
      </c>
      <c r="F64" s="60">
        <v>50</v>
      </c>
      <c r="G64" s="66">
        <v>70000</v>
      </c>
      <c r="H64" s="2">
        <v>3500000</v>
      </c>
    </row>
    <row r="65" spans="1:8">
      <c r="A65" s="117" t="s">
        <v>25</v>
      </c>
      <c r="B65" s="117"/>
      <c r="C65" s="117"/>
      <c r="D65" s="117"/>
      <c r="E65" s="117"/>
      <c r="F65" s="64">
        <v>70</v>
      </c>
      <c r="G65" s="3">
        <v>340370</v>
      </c>
      <c r="H65" s="3">
        <v>4682684</v>
      </c>
    </row>
    <row r="66" spans="1:8">
      <c r="A66" s="118" t="s">
        <v>115</v>
      </c>
      <c r="B66" s="118"/>
      <c r="C66" s="118"/>
      <c r="D66" s="118"/>
      <c r="E66" s="118"/>
      <c r="F66" s="118"/>
      <c r="G66" s="118"/>
      <c r="H66" s="118"/>
    </row>
    <row r="67" spans="1:8">
      <c r="A67" s="120" t="s">
        <v>116</v>
      </c>
      <c r="B67" s="120"/>
      <c r="C67" s="35" t="s">
        <v>117</v>
      </c>
      <c r="D67" s="36">
        <v>11</v>
      </c>
      <c r="E67" s="37" t="s">
        <v>39</v>
      </c>
      <c r="F67" s="53">
        <v>9</v>
      </c>
      <c r="G67" s="38">
        <v>191250</v>
      </c>
      <c r="H67" s="38">
        <v>1721250</v>
      </c>
    </row>
    <row r="68" spans="1:8">
      <c r="A68" s="103" t="s">
        <v>118</v>
      </c>
      <c r="B68" s="103"/>
      <c r="C68" s="35" t="s">
        <v>119</v>
      </c>
      <c r="D68" s="36">
        <v>11</v>
      </c>
      <c r="E68" s="37" t="s">
        <v>29</v>
      </c>
      <c r="F68" s="53">
        <v>9</v>
      </c>
      <c r="G68" s="38">
        <v>188750</v>
      </c>
      <c r="H68" s="38">
        <v>1698750</v>
      </c>
    </row>
    <row r="69" spans="1:8">
      <c r="A69" s="104" t="s">
        <v>120</v>
      </c>
      <c r="B69" s="105"/>
      <c r="C69" s="35" t="s">
        <v>121</v>
      </c>
      <c r="D69" s="36"/>
      <c r="E69" s="37" t="s">
        <v>29</v>
      </c>
      <c r="F69" s="36">
        <v>900</v>
      </c>
      <c r="G69" s="38">
        <v>177000.6</v>
      </c>
      <c r="H69" s="38">
        <v>159300540</v>
      </c>
    </row>
    <row r="70" spans="1:8">
      <c r="A70" s="117" t="s">
        <v>25</v>
      </c>
      <c r="B70" s="117"/>
      <c r="C70" s="117"/>
      <c r="D70" s="117"/>
      <c r="E70" s="117"/>
      <c r="F70" s="39">
        <v>918</v>
      </c>
      <c r="G70" s="3">
        <v>557000.6</v>
      </c>
      <c r="H70" s="3">
        <v>162720540</v>
      </c>
    </row>
    <row r="71" spans="1:8">
      <c r="A71" s="122" t="s">
        <v>122</v>
      </c>
      <c r="B71" s="122"/>
      <c r="C71" s="122"/>
      <c r="D71" s="122"/>
      <c r="E71" s="122"/>
      <c r="F71" s="122"/>
      <c r="G71" s="122"/>
      <c r="H71" s="122"/>
    </row>
    <row r="72" spans="1:8">
      <c r="A72" s="117" t="s">
        <v>25</v>
      </c>
      <c r="B72" s="117"/>
      <c r="C72" s="117"/>
      <c r="D72" s="117"/>
      <c r="E72" s="117"/>
      <c r="F72" s="40">
        <v>2976</v>
      </c>
      <c r="G72" s="3">
        <v>1824883.6</v>
      </c>
      <c r="H72" s="3">
        <v>209639910</v>
      </c>
    </row>
    <row r="73" spans="1:8">
      <c r="A73" s="46"/>
      <c r="B73" s="46"/>
      <c r="C73" s="30"/>
      <c r="D73" s="30"/>
      <c r="E73" s="32"/>
      <c r="F73" s="21"/>
      <c r="G73" s="31"/>
      <c r="H73" s="31"/>
    </row>
    <row r="74" spans="1:8">
      <c r="A74" s="99" t="s">
        <v>123</v>
      </c>
      <c r="B74" s="99"/>
      <c r="C74" s="99"/>
      <c r="D74" s="99"/>
      <c r="E74" s="99"/>
      <c r="F74" s="99"/>
      <c r="G74" s="99"/>
      <c r="H74" s="99"/>
    </row>
    <row r="75" spans="1:8">
      <c r="A75" s="15"/>
      <c r="B75" s="15"/>
      <c r="C75" s="16"/>
      <c r="D75" s="21"/>
      <c r="E75" s="16"/>
      <c r="F75" s="16"/>
      <c r="G75" s="15"/>
      <c r="H75" s="15"/>
    </row>
    <row r="76" spans="1:8">
      <c r="A76" s="33"/>
      <c r="B76" s="33"/>
      <c r="C76" s="23"/>
      <c r="D76" s="30"/>
      <c r="E76" s="121" t="s">
        <v>153</v>
      </c>
      <c r="F76" s="121"/>
      <c r="G76" s="121"/>
      <c r="H76" s="121"/>
    </row>
    <row r="77" spans="1:8">
      <c r="A77" s="121" t="s">
        <v>163</v>
      </c>
      <c r="B77" s="121"/>
      <c r="C77" s="121"/>
      <c r="D77" s="30"/>
      <c r="E77" s="121" t="s">
        <v>126</v>
      </c>
      <c r="F77" s="121"/>
      <c r="G77" s="121"/>
      <c r="H77" s="121"/>
    </row>
    <row r="78" spans="1:8">
      <c r="A78" s="18"/>
      <c r="B78" s="18"/>
      <c r="C78" s="22"/>
      <c r="D78" s="30"/>
      <c r="E78" s="34"/>
      <c r="F78" s="14"/>
      <c r="G78" s="4"/>
      <c r="H78" s="4"/>
    </row>
    <row r="79" spans="1:8">
      <c r="A79" s="18"/>
      <c r="B79" s="18"/>
      <c r="C79" s="22"/>
      <c r="D79" s="30"/>
      <c r="E79" s="34"/>
      <c r="F79" s="14"/>
      <c r="G79" s="4"/>
      <c r="H79" s="4"/>
    </row>
    <row r="80" spans="1:8">
      <c r="A80" s="18"/>
      <c r="B80" s="18"/>
      <c r="C80" s="22"/>
      <c r="D80" s="30"/>
      <c r="E80" s="34"/>
      <c r="F80" s="14"/>
      <c r="G80" s="4"/>
      <c r="H80" s="4"/>
    </row>
    <row r="81" spans="1:8">
      <c r="A81" s="123" t="s">
        <v>165</v>
      </c>
      <c r="B81" s="123"/>
      <c r="C81" s="123"/>
      <c r="D81" s="30"/>
      <c r="E81" s="123" t="s">
        <v>128</v>
      </c>
      <c r="F81" s="123"/>
      <c r="G81" s="123"/>
      <c r="H81" s="123"/>
    </row>
    <row r="82" spans="1:8">
      <c r="A82" s="121" t="s">
        <v>164</v>
      </c>
      <c r="B82" s="121"/>
      <c r="C82" s="121"/>
      <c r="D82" s="30"/>
      <c r="E82" s="121" t="s">
        <v>130</v>
      </c>
      <c r="F82" s="121"/>
      <c r="G82" s="121"/>
      <c r="H82" s="121"/>
    </row>
    <row r="83" spans="1:8">
      <c r="A83" s="33"/>
      <c r="B83" s="33"/>
      <c r="C83" s="23"/>
      <c r="D83" s="30"/>
      <c r="E83" s="34"/>
      <c r="F83" s="14"/>
      <c r="G83" s="4"/>
      <c r="H83" s="33"/>
    </row>
    <row r="84" spans="1:8">
      <c r="A84" s="121" t="s">
        <v>131</v>
      </c>
      <c r="B84" s="121"/>
      <c r="C84" s="121"/>
      <c r="D84" s="121"/>
      <c r="E84" s="121"/>
      <c r="F84" s="121"/>
      <c r="G84" s="121"/>
      <c r="H84" s="121"/>
    </row>
    <row r="85" spans="1:8">
      <c r="A85" s="121" t="s">
        <v>132</v>
      </c>
      <c r="B85" s="121"/>
      <c r="C85" s="121"/>
      <c r="D85" s="121"/>
      <c r="E85" s="121"/>
      <c r="F85" s="121"/>
      <c r="G85" s="121"/>
      <c r="H85" s="121"/>
    </row>
    <row r="86" spans="1:8">
      <c r="A86" s="4"/>
      <c r="B86" s="4"/>
      <c r="C86" s="34"/>
      <c r="D86" s="30"/>
      <c r="E86" s="34"/>
      <c r="F86" s="14"/>
      <c r="G86" s="4"/>
      <c r="H86" s="4"/>
    </row>
    <row r="87" spans="1:8">
      <c r="A87" s="4"/>
      <c r="B87" s="4"/>
      <c r="C87" s="34"/>
      <c r="D87" s="30"/>
      <c r="E87" s="34"/>
      <c r="F87" s="14"/>
      <c r="G87" s="4"/>
      <c r="H87" s="4"/>
    </row>
    <row r="88" spans="1:8">
      <c r="A88" s="4"/>
      <c r="B88" s="4"/>
      <c r="C88" s="34"/>
      <c r="D88" s="30"/>
      <c r="E88" s="34"/>
      <c r="F88" s="14"/>
      <c r="G88" s="4"/>
      <c r="H88" s="4"/>
    </row>
    <row r="89" spans="1:8">
      <c r="A89" s="33"/>
      <c r="B89" s="33"/>
      <c r="C89" s="23"/>
      <c r="D89" s="30"/>
      <c r="E89" s="34"/>
      <c r="F89" s="13"/>
      <c r="G89" s="33"/>
      <c r="H89" s="33"/>
    </row>
    <row r="90" spans="1:8">
      <c r="A90" s="123" t="s">
        <v>161</v>
      </c>
      <c r="B90" s="123"/>
      <c r="C90" s="123"/>
      <c r="D90" s="123"/>
      <c r="E90" s="123"/>
      <c r="F90" s="123"/>
      <c r="G90" s="123"/>
      <c r="H90" s="123"/>
    </row>
    <row r="91" spans="1:8">
      <c r="A91" s="121" t="s">
        <v>162</v>
      </c>
      <c r="B91" s="121"/>
      <c r="C91" s="121"/>
      <c r="D91" s="121"/>
      <c r="E91" s="121"/>
      <c r="F91" s="121"/>
      <c r="G91" s="121"/>
      <c r="H91" s="121"/>
    </row>
  </sheetData>
  <mergeCells count="81">
    <mergeCell ref="A90:H90"/>
    <mergeCell ref="A91:H91"/>
    <mergeCell ref="A81:C81"/>
    <mergeCell ref="E81:H81"/>
    <mergeCell ref="A82:C82"/>
    <mergeCell ref="E82:H82"/>
    <mergeCell ref="A84:H84"/>
    <mergeCell ref="A85:H85"/>
    <mergeCell ref="A77:C77"/>
    <mergeCell ref="E77:H77"/>
    <mergeCell ref="A64:B64"/>
    <mergeCell ref="A65:E65"/>
    <mergeCell ref="A66:H66"/>
    <mergeCell ref="A67:B67"/>
    <mergeCell ref="A68:B68"/>
    <mergeCell ref="A69:B69"/>
    <mergeCell ref="A70:E70"/>
    <mergeCell ref="A71:H71"/>
    <mergeCell ref="A72:E72"/>
    <mergeCell ref="A74:H74"/>
    <mergeCell ref="E76:H76"/>
    <mergeCell ref="A63:B63"/>
    <mergeCell ref="A52:B52"/>
    <mergeCell ref="A53:B53"/>
    <mergeCell ref="A54:B54"/>
    <mergeCell ref="A55:B55"/>
    <mergeCell ref="A56:B56"/>
    <mergeCell ref="A57:E57"/>
    <mergeCell ref="A58:H58"/>
    <mergeCell ref="A59:B59"/>
    <mergeCell ref="A60:B60"/>
    <mergeCell ref="A61:B61"/>
    <mergeCell ref="A62:B62"/>
    <mergeCell ref="A51:B51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39:B39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27:B27"/>
    <mergeCell ref="A16:H16"/>
    <mergeCell ref="A17:B17"/>
    <mergeCell ref="A18:B18"/>
    <mergeCell ref="A19:B19"/>
    <mergeCell ref="A20:E20"/>
    <mergeCell ref="A21:H21"/>
    <mergeCell ref="A22:B22"/>
    <mergeCell ref="A23:B23"/>
    <mergeCell ref="A24:B24"/>
    <mergeCell ref="A25:B25"/>
    <mergeCell ref="A26:B26"/>
    <mergeCell ref="A15:B15"/>
    <mergeCell ref="A1:H1"/>
    <mergeCell ref="A2:H2"/>
    <mergeCell ref="A3:H3"/>
    <mergeCell ref="A4:H4"/>
    <mergeCell ref="A5:H5"/>
    <mergeCell ref="A8:H8"/>
    <mergeCell ref="A9:H9"/>
    <mergeCell ref="A11:H11"/>
    <mergeCell ref="A12:H12"/>
    <mergeCell ref="A13:H13"/>
    <mergeCell ref="A14:B14"/>
  </mergeCells>
  <hyperlinks>
    <hyperlink ref="A5" r:id="rId1" display="mailto:dlhbanjarmasin@gmail.com"/>
  </hyperlinks>
  <pageMargins left="0.25" right="0.25" top="0.75" bottom="0.75" header="0.3" footer="0.3"/>
  <pageSetup paperSize="10000" scale="99" orientation="portrait" horizontalDpi="0" verticalDpi="0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91"/>
  <sheetViews>
    <sheetView view="pageBreakPreview" topLeftCell="A67" zoomScaleNormal="100" zoomScaleSheetLayoutView="100" workbookViewId="0">
      <selection activeCell="A14" sqref="A14:B14"/>
    </sheetView>
  </sheetViews>
  <sheetFormatPr defaultRowHeight="14.5"/>
  <cols>
    <col min="1" max="2" width="9.54296875" customWidth="1"/>
    <col min="3" max="3" width="31.1796875" customWidth="1"/>
    <col min="7" max="7" width="12.26953125" customWidth="1"/>
    <col min="8" max="8" width="15.54296875" customWidth="1"/>
  </cols>
  <sheetData>
    <row r="1" spans="1:8" ht="17.5">
      <c r="A1" s="92" t="s">
        <v>0</v>
      </c>
      <c r="B1" s="92"/>
      <c r="C1" s="92"/>
      <c r="D1" s="92"/>
      <c r="E1" s="92"/>
      <c r="F1" s="92"/>
      <c r="G1" s="92"/>
      <c r="H1" s="92"/>
    </row>
    <row r="2" spans="1:8" ht="22">
      <c r="A2" s="93" t="s">
        <v>1</v>
      </c>
      <c r="B2" s="93"/>
      <c r="C2" s="93"/>
      <c r="D2" s="93"/>
      <c r="E2" s="93"/>
      <c r="F2" s="93"/>
      <c r="G2" s="93"/>
      <c r="H2" s="93"/>
    </row>
    <row r="3" spans="1:8">
      <c r="A3" s="94" t="s">
        <v>2</v>
      </c>
      <c r="B3" s="94"/>
      <c r="C3" s="94"/>
      <c r="D3" s="94"/>
      <c r="E3" s="94"/>
      <c r="F3" s="94"/>
      <c r="G3" s="94"/>
      <c r="H3" s="94"/>
    </row>
    <row r="4" spans="1:8">
      <c r="A4" s="94" t="s">
        <v>3</v>
      </c>
      <c r="B4" s="94"/>
      <c r="C4" s="94"/>
      <c r="D4" s="94"/>
      <c r="E4" s="94"/>
      <c r="F4" s="94"/>
      <c r="G4" s="94"/>
      <c r="H4" s="94"/>
    </row>
    <row r="5" spans="1:8">
      <c r="A5" s="95" t="s">
        <v>4</v>
      </c>
      <c r="B5" s="95"/>
      <c r="C5" s="95"/>
      <c r="D5" s="95"/>
      <c r="E5" s="95"/>
      <c r="F5" s="95"/>
      <c r="G5" s="95"/>
      <c r="H5" s="95"/>
    </row>
    <row r="6" spans="1:8" ht="15" thickBot="1">
      <c r="A6" s="7"/>
      <c r="B6" s="8"/>
      <c r="C6" s="9"/>
      <c r="D6" s="9"/>
      <c r="E6" s="9"/>
      <c r="F6" s="55"/>
      <c r="G6" s="8"/>
      <c r="H6" s="8"/>
    </row>
    <row r="7" spans="1:8" ht="15" thickTop="1">
      <c r="A7" s="10"/>
      <c r="B7" s="11"/>
      <c r="C7" s="6"/>
      <c r="D7" s="6"/>
      <c r="E7" s="6"/>
      <c r="F7" s="47"/>
      <c r="G7" s="11"/>
      <c r="H7" s="11"/>
    </row>
    <row r="8" spans="1:8">
      <c r="A8" s="96" t="s">
        <v>5</v>
      </c>
      <c r="B8" s="96"/>
      <c r="C8" s="96"/>
      <c r="D8" s="96"/>
      <c r="E8" s="96"/>
      <c r="F8" s="96"/>
      <c r="G8" s="96"/>
      <c r="H8" s="96"/>
    </row>
    <row r="9" spans="1:8">
      <c r="A9" s="97" t="s">
        <v>137</v>
      </c>
      <c r="B9" s="97"/>
      <c r="C9" s="97"/>
      <c r="D9" s="97"/>
      <c r="E9" s="97"/>
      <c r="F9" s="97"/>
      <c r="G9" s="97"/>
      <c r="H9" s="97"/>
    </row>
    <row r="10" spans="1:8">
      <c r="A10" s="12"/>
      <c r="B10" s="12"/>
      <c r="C10" s="13"/>
      <c r="D10" s="13"/>
      <c r="E10" s="14"/>
      <c r="F10" s="13"/>
      <c r="G10" s="12"/>
      <c r="H10" s="12"/>
    </row>
    <row r="11" spans="1:8">
      <c r="A11" s="98" t="s">
        <v>154</v>
      </c>
      <c r="B11" s="98"/>
      <c r="C11" s="98"/>
      <c r="D11" s="98"/>
      <c r="E11" s="98"/>
      <c r="F11" s="98"/>
      <c r="G11" s="98"/>
      <c r="H11" s="98"/>
    </row>
    <row r="12" spans="1:8">
      <c r="A12" s="99" t="s">
        <v>8</v>
      </c>
      <c r="B12" s="99"/>
      <c r="C12" s="99"/>
      <c r="D12" s="99"/>
      <c r="E12" s="99"/>
      <c r="F12" s="99"/>
      <c r="G12" s="99"/>
      <c r="H12" s="99"/>
    </row>
    <row r="13" spans="1:8">
      <c r="A13" s="100" t="s">
        <v>142</v>
      </c>
      <c r="B13" s="100"/>
      <c r="C13" s="100"/>
      <c r="D13" s="100"/>
      <c r="E13" s="100"/>
      <c r="F13" s="100"/>
      <c r="G13" s="100"/>
      <c r="H13" s="100"/>
    </row>
    <row r="14" spans="1:8" ht="34.5">
      <c r="A14" s="91" t="s">
        <v>10</v>
      </c>
      <c r="B14" s="91"/>
      <c r="C14" s="25" t="s">
        <v>11</v>
      </c>
      <c r="D14" s="19" t="s">
        <v>12</v>
      </c>
      <c r="E14" s="26" t="s">
        <v>13</v>
      </c>
      <c r="F14" s="41" t="s">
        <v>14</v>
      </c>
      <c r="G14" s="20" t="s">
        <v>15</v>
      </c>
      <c r="H14" s="20" t="s">
        <v>16</v>
      </c>
    </row>
    <row r="15" spans="1:8">
      <c r="A15" s="91">
        <v>1</v>
      </c>
      <c r="B15" s="91"/>
      <c r="C15" s="25">
        <v>2</v>
      </c>
      <c r="D15" s="25">
        <v>3</v>
      </c>
      <c r="E15" s="27">
        <v>4</v>
      </c>
      <c r="F15" s="41">
        <v>5</v>
      </c>
      <c r="G15" s="20">
        <v>6</v>
      </c>
      <c r="H15" s="20">
        <v>7</v>
      </c>
    </row>
    <row r="16" spans="1:8">
      <c r="A16" s="102" t="s">
        <v>17</v>
      </c>
      <c r="B16" s="102"/>
      <c r="C16" s="102"/>
      <c r="D16" s="102"/>
      <c r="E16" s="102"/>
      <c r="F16" s="102"/>
      <c r="G16" s="102"/>
      <c r="H16" s="102"/>
    </row>
    <row r="17" spans="1:8">
      <c r="A17" s="103" t="s">
        <v>18</v>
      </c>
      <c r="B17" s="103"/>
      <c r="C17" s="42" t="s">
        <v>19</v>
      </c>
      <c r="D17" s="45">
        <v>45</v>
      </c>
      <c r="E17" s="37" t="s">
        <v>20</v>
      </c>
      <c r="F17" s="52">
        <v>20</v>
      </c>
      <c r="G17" s="56">
        <v>25300</v>
      </c>
      <c r="H17" s="44">
        <v>506000</v>
      </c>
    </row>
    <row r="18" spans="1:8">
      <c r="A18" s="104" t="s">
        <v>21</v>
      </c>
      <c r="B18" s="105"/>
      <c r="C18" s="42" t="s">
        <v>22</v>
      </c>
      <c r="D18" s="43">
        <v>1000</v>
      </c>
      <c r="E18" s="37" t="s">
        <v>20</v>
      </c>
      <c r="F18" s="52">
        <v>500</v>
      </c>
      <c r="G18" s="56">
        <v>5000</v>
      </c>
      <c r="H18" s="44">
        <v>2500000</v>
      </c>
    </row>
    <row r="19" spans="1:8">
      <c r="A19" s="103" t="s">
        <v>23</v>
      </c>
      <c r="B19" s="103"/>
      <c r="C19" s="42" t="s">
        <v>24</v>
      </c>
      <c r="D19" s="43">
        <v>490</v>
      </c>
      <c r="E19" s="37" t="s">
        <v>20</v>
      </c>
      <c r="F19" s="52">
        <v>300</v>
      </c>
      <c r="G19" s="56">
        <v>5000</v>
      </c>
      <c r="H19" s="44">
        <v>1500000</v>
      </c>
    </row>
    <row r="20" spans="1:8">
      <c r="A20" s="106" t="s">
        <v>25</v>
      </c>
      <c r="B20" s="107"/>
      <c r="C20" s="107"/>
      <c r="D20" s="107"/>
      <c r="E20" s="108"/>
      <c r="F20" s="57">
        <v>820</v>
      </c>
      <c r="G20" s="58">
        <v>35300</v>
      </c>
      <c r="H20" s="51">
        <v>4506000</v>
      </c>
    </row>
    <row r="21" spans="1:8">
      <c r="A21" s="109" t="s">
        <v>26</v>
      </c>
      <c r="B21" s="109"/>
      <c r="C21" s="109"/>
      <c r="D21" s="109"/>
      <c r="E21" s="109"/>
      <c r="F21" s="110"/>
      <c r="G21" s="109"/>
      <c r="H21" s="109"/>
    </row>
    <row r="22" spans="1:8">
      <c r="A22" s="111" t="s">
        <v>27</v>
      </c>
      <c r="B22" s="111"/>
      <c r="C22" s="17" t="s">
        <v>28</v>
      </c>
      <c r="D22" s="5">
        <v>5</v>
      </c>
      <c r="E22" s="59" t="s">
        <v>29</v>
      </c>
      <c r="F22" s="60">
        <v>4</v>
      </c>
      <c r="G22" s="48">
        <v>31635</v>
      </c>
      <c r="H22" s="2">
        <v>126540</v>
      </c>
    </row>
    <row r="23" spans="1:8">
      <c r="A23" s="111" t="s">
        <v>30</v>
      </c>
      <c r="B23" s="111"/>
      <c r="C23" s="17" t="s">
        <v>31</v>
      </c>
      <c r="D23" s="5">
        <v>10</v>
      </c>
      <c r="E23" s="59" t="s">
        <v>29</v>
      </c>
      <c r="F23" s="60">
        <v>6</v>
      </c>
      <c r="G23" s="48">
        <v>22755</v>
      </c>
      <c r="H23" s="2">
        <v>136530</v>
      </c>
    </row>
    <row r="24" spans="1:8">
      <c r="A24" s="111" t="s">
        <v>32</v>
      </c>
      <c r="B24" s="111"/>
      <c r="C24" s="17" t="s">
        <v>33</v>
      </c>
      <c r="D24" s="5">
        <v>10</v>
      </c>
      <c r="E24" s="59" t="s">
        <v>29</v>
      </c>
      <c r="F24" s="60">
        <v>10</v>
      </c>
      <c r="G24" s="48">
        <v>42735</v>
      </c>
      <c r="H24" s="2">
        <v>427350</v>
      </c>
    </row>
    <row r="25" spans="1:8">
      <c r="A25" s="111" t="s">
        <v>34</v>
      </c>
      <c r="B25" s="111"/>
      <c r="C25" s="17" t="s">
        <v>35</v>
      </c>
      <c r="D25" s="5">
        <v>51</v>
      </c>
      <c r="E25" s="59" t="s">
        <v>36</v>
      </c>
      <c r="F25" s="60">
        <v>20</v>
      </c>
      <c r="G25" s="48">
        <v>4662</v>
      </c>
      <c r="H25" s="2">
        <v>93240</v>
      </c>
    </row>
    <row r="26" spans="1:8">
      <c r="A26" s="111" t="s">
        <v>37</v>
      </c>
      <c r="B26" s="111"/>
      <c r="C26" s="17" t="s">
        <v>38</v>
      </c>
      <c r="D26" s="5">
        <v>10</v>
      </c>
      <c r="E26" s="59" t="s">
        <v>39</v>
      </c>
      <c r="F26" s="60">
        <v>3</v>
      </c>
      <c r="G26" s="48">
        <v>22200</v>
      </c>
      <c r="H26" s="2">
        <v>66600</v>
      </c>
    </row>
    <row r="27" spans="1:8">
      <c r="A27" s="101" t="s">
        <v>40</v>
      </c>
      <c r="B27" s="101"/>
      <c r="C27" s="17" t="s">
        <v>41</v>
      </c>
      <c r="D27" s="5">
        <v>5</v>
      </c>
      <c r="E27" s="59" t="s">
        <v>39</v>
      </c>
      <c r="F27" s="60">
        <v>1</v>
      </c>
      <c r="G27" s="48">
        <v>115440</v>
      </c>
      <c r="H27" s="2">
        <v>115440</v>
      </c>
    </row>
    <row r="28" spans="1:8">
      <c r="A28" s="111" t="s">
        <v>42</v>
      </c>
      <c r="B28" s="111"/>
      <c r="C28" s="17" t="s">
        <v>43</v>
      </c>
      <c r="D28" s="5">
        <v>50</v>
      </c>
      <c r="E28" s="59" t="s">
        <v>29</v>
      </c>
      <c r="F28" s="60">
        <v>9</v>
      </c>
      <c r="G28" s="48">
        <v>29970</v>
      </c>
      <c r="H28" s="2">
        <v>269730</v>
      </c>
    </row>
    <row r="29" spans="1:8">
      <c r="A29" s="111" t="s">
        <v>44</v>
      </c>
      <c r="B29" s="111"/>
      <c r="C29" s="17" t="s">
        <v>45</v>
      </c>
      <c r="D29" s="5">
        <v>25</v>
      </c>
      <c r="E29" s="59" t="s">
        <v>29</v>
      </c>
      <c r="F29" s="60">
        <v>11</v>
      </c>
      <c r="G29" s="48">
        <v>5883</v>
      </c>
      <c r="H29" s="2">
        <v>64713</v>
      </c>
    </row>
    <row r="30" spans="1:8">
      <c r="A30" s="111" t="s">
        <v>46</v>
      </c>
      <c r="B30" s="111"/>
      <c r="C30" s="17" t="s">
        <v>47</v>
      </c>
      <c r="D30" s="5">
        <v>51</v>
      </c>
      <c r="E30" s="59" t="s">
        <v>36</v>
      </c>
      <c r="F30" s="60">
        <v>8</v>
      </c>
      <c r="G30" s="48">
        <v>5717</v>
      </c>
      <c r="H30" s="2">
        <v>45736</v>
      </c>
    </row>
    <row r="31" spans="1:8">
      <c r="A31" s="111" t="s">
        <v>48</v>
      </c>
      <c r="B31" s="111"/>
      <c r="C31" s="17" t="s">
        <v>49</v>
      </c>
      <c r="D31" s="5">
        <v>50</v>
      </c>
      <c r="E31" s="59" t="s">
        <v>29</v>
      </c>
      <c r="F31" s="60">
        <v>48</v>
      </c>
      <c r="G31" s="48">
        <v>46898</v>
      </c>
      <c r="H31" s="2">
        <v>2251104</v>
      </c>
    </row>
    <row r="32" spans="1:8">
      <c r="A32" s="111" t="s">
        <v>50</v>
      </c>
      <c r="B32" s="111"/>
      <c r="C32" s="17" t="s">
        <v>51</v>
      </c>
      <c r="D32" s="5">
        <v>50</v>
      </c>
      <c r="E32" s="59" t="s">
        <v>36</v>
      </c>
      <c r="F32" s="60">
        <v>38</v>
      </c>
      <c r="G32" s="48">
        <v>11100</v>
      </c>
      <c r="H32" s="2">
        <v>421800</v>
      </c>
    </row>
    <row r="33" spans="1:8">
      <c r="A33" s="111" t="s">
        <v>52</v>
      </c>
      <c r="B33" s="111"/>
      <c r="C33" s="17" t="s">
        <v>53</v>
      </c>
      <c r="D33" s="5">
        <v>10</v>
      </c>
      <c r="E33" s="59" t="s">
        <v>29</v>
      </c>
      <c r="F33" s="60">
        <v>8</v>
      </c>
      <c r="G33" s="48">
        <v>23310</v>
      </c>
      <c r="H33" s="2">
        <v>186480</v>
      </c>
    </row>
    <row r="34" spans="1:8">
      <c r="A34" s="111" t="s">
        <v>54</v>
      </c>
      <c r="B34" s="111"/>
      <c r="C34" s="17" t="s">
        <v>55</v>
      </c>
      <c r="D34" s="5">
        <v>3</v>
      </c>
      <c r="E34" s="59" t="s">
        <v>29</v>
      </c>
      <c r="F34" s="60">
        <v>3</v>
      </c>
      <c r="G34" s="48">
        <v>13320</v>
      </c>
      <c r="H34" s="2">
        <v>39960</v>
      </c>
    </row>
    <row r="35" spans="1:8">
      <c r="A35" s="111" t="s">
        <v>56</v>
      </c>
      <c r="B35" s="111"/>
      <c r="C35" s="17" t="s">
        <v>57</v>
      </c>
      <c r="D35" s="5">
        <v>25</v>
      </c>
      <c r="E35" s="59" t="s">
        <v>36</v>
      </c>
      <c r="F35" s="60">
        <v>3</v>
      </c>
      <c r="G35" s="48">
        <v>28860</v>
      </c>
      <c r="H35" s="2">
        <v>86580</v>
      </c>
    </row>
    <row r="36" spans="1:8">
      <c r="A36" s="111" t="s">
        <v>58</v>
      </c>
      <c r="B36" s="111"/>
      <c r="C36" s="17" t="s">
        <v>59</v>
      </c>
      <c r="D36" s="5">
        <v>25</v>
      </c>
      <c r="E36" s="59" t="s">
        <v>36</v>
      </c>
      <c r="F36" s="60">
        <v>5</v>
      </c>
      <c r="G36" s="48">
        <v>19148</v>
      </c>
      <c r="H36" s="2">
        <v>95740</v>
      </c>
    </row>
    <row r="37" spans="1:8">
      <c r="A37" s="111" t="s">
        <v>60</v>
      </c>
      <c r="B37" s="111"/>
      <c r="C37" s="17" t="s">
        <v>61</v>
      </c>
      <c r="D37" s="5">
        <v>59</v>
      </c>
      <c r="E37" s="59" t="s">
        <v>36</v>
      </c>
      <c r="F37" s="60">
        <v>18</v>
      </c>
      <c r="G37" s="48">
        <v>4662</v>
      </c>
      <c r="H37" s="2">
        <v>83916</v>
      </c>
    </row>
    <row r="38" spans="1:8">
      <c r="A38" s="111" t="s">
        <v>62</v>
      </c>
      <c r="B38" s="111"/>
      <c r="C38" s="17" t="s">
        <v>63</v>
      </c>
      <c r="D38" s="5">
        <v>24</v>
      </c>
      <c r="E38" s="59" t="s">
        <v>36</v>
      </c>
      <c r="F38" s="60">
        <v>1</v>
      </c>
      <c r="G38" s="48">
        <v>5550</v>
      </c>
      <c r="H38" s="2">
        <v>5550</v>
      </c>
    </row>
    <row r="39" spans="1:8">
      <c r="A39" s="114" t="s">
        <v>64</v>
      </c>
      <c r="B39" s="114"/>
      <c r="C39" s="54" t="s">
        <v>65</v>
      </c>
      <c r="D39" s="5">
        <v>25</v>
      </c>
      <c r="E39" s="59" t="s">
        <v>36</v>
      </c>
      <c r="F39" s="62">
        <v>3</v>
      </c>
      <c r="G39" s="48">
        <v>13154</v>
      </c>
      <c r="H39" s="2">
        <v>39462</v>
      </c>
    </row>
    <row r="40" spans="1:8">
      <c r="A40" s="115" t="s">
        <v>66</v>
      </c>
      <c r="B40" s="116"/>
      <c r="C40" s="50" t="s">
        <v>67</v>
      </c>
      <c r="D40" s="5">
        <v>26</v>
      </c>
      <c r="E40" s="59" t="s">
        <v>36</v>
      </c>
      <c r="F40" s="62">
        <v>12</v>
      </c>
      <c r="G40" s="48">
        <v>10545</v>
      </c>
      <c r="H40" s="2">
        <v>126540</v>
      </c>
    </row>
    <row r="41" spans="1:8">
      <c r="A41" s="111" t="s">
        <v>68</v>
      </c>
      <c r="B41" s="111"/>
      <c r="C41" s="17" t="s">
        <v>69</v>
      </c>
      <c r="D41" s="5">
        <v>12</v>
      </c>
      <c r="E41" s="59" t="s">
        <v>29</v>
      </c>
      <c r="F41" s="60">
        <v>4</v>
      </c>
      <c r="G41" s="48">
        <v>11100</v>
      </c>
      <c r="H41" s="2">
        <v>44400</v>
      </c>
    </row>
    <row r="42" spans="1:8">
      <c r="A42" s="112" t="s">
        <v>70</v>
      </c>
      <c r="B42" s="113"/>
      <c r="C42" s="49" t="s">
        <v>71</v>
      </c>
      <c r="D42" s="5">
        <v>12</v>
      </c>
      <c r="E42" s="59" t="s">
        <v>29</v>
      </c>
      <c r="F42" s="60">
        <v>2</v>
      </c>
      <c r="G42" s="48">
        <v>12210</v>
      </c>
      <c r="H42" s="2">
        <v>24420</v>
      </c>
    </row>
    <row r="43" spans="1:8">
      <c r="A43" s="111" t="s">
        <v>72</v>
      </c>
      <c r="B43" s="111"/>
      <c r="C43" s="17" t="s">
        <v>73</v>
      </c>
      <c r="D43" s="5">
        <v>24</v>
      </c>
      <c r="E43" s="59" t="s">
        <v>29</v>
      </c>
      <c r="F43" s="60">
        <v>6</v>
      </c>
      <c r="G43" s="48">
        <v>11655</v>
      </c>
      <c r="H43" s="2">
        <v>69930</v>
      </c>
    </row>
    <row r="44" spans="1:8">
      <c r="A44" s="111" t="s">
        <v>74</v>
      </c>
      <c r="B44" s="111"/>
      <c r="C44" s="17" t="s">
        <v>75</v>
      </c>
      <c r="D44" s="5">
        <v>50</v>
      </c>
      <c r="E44" s="59" t="s">
        <v>29</v>
      </c>
      <c r="F44" s="60">
        <v>30</v>
      </c>
      <c r="G44" s="48">
        <v>22200</v>
      </c>
      <c r="H44" s="2">
        <v>666000</v>
      </c>
    </row>
    <row r="45" spans="1:8">
      <c r="A45" s="112" t="s">
        <v>76</v>
      </c>
      <c r="B45" s="113"/>
      <c r="C45" s="49" t="s">
        <v>77</v>
      </c>
      <c r="D45" s="5">
        <v>21</v>
      </c>
      <c r="E45" s="59" t="s">
        <v>29</v>
      </c>
      <c r="F45" s="60">
        <v>11</v>
      </c>
      <c r="G45" s="48">
        <v>35798</v>
      </c>
      <c r="H45" s="2">
        <v>393778</v>
      </c>
    </row>
    <row r="46" spans="1:8">
      <c r="A46" s="111" t="s">
        <v>78</v>
      </c>
      <c r="B46" s="111"/>
      <c r="C46" s="17" t="s">
        <v>79</v>
      </c>
      <c r="D46" s="5">
        <v>100</v>
      </c>
      <c r="E46" s="59" t="s">
        <v>80</v>
      </c>
      <c r="F46" s="60">
        <v>70</v>
      </c>
      <c r="G46" s="48">
        <v>46065</v>
      </c>
      <c r="H46" s="2">
        <v>3224550</v>
      </c>
    </row>
    <row r="47" spans="1:8">
      <c r="A47" s="111" t="s">
        <v>81</v>
      </c>
      <c r="B47" s="111"/>
      <c r="C47" s="49" t="s">
        <v>82</v>
      </c>
      <c r="D47" s="5">
        <v>11</v>
      </c>
      <c r="E47" s="59" t="s">
        <v>29</v>
      </c>
      <c r="F47" s="62">
        <v>5</v>
      </c>
      <c r="G47" s="48">
        <v>10545</v>
      </c>
      <c r="H47" s="2">
        <v>52725</v>
      </c>
    </row>
    <row r="48" spans="1:8">
      <c r="A48" s="111" t="s">
        <v>83</v>
      </c>
      <c r="B48" s="111"/>
      <c r="C48" s="17" t="s">
        <v>84</v>
      </c>
      <c r="D48" s="5">
        <v>100</v>
      </c>
      <c r="E48" s="59" t="s">
        <v>36</v>
      </c>
      <c r="F48" s="60">
        <v>100</v>
      </c>
      <c r="G48" s="2">
        <v>4125</v>
      </c>
      <c r="H48" s="2">
        <v>412500</v>
      </c>
    </row>
    <row r="49" spans="1:8">
      <c r="A49" s="111" t="s">
        <v>85</v>
      </c>
      <c r="B49" s="111"/>
      <c r="C49" s="17" t="s">
        <v>86</v>
      </c>
      <c r="D49" s="5">
        <v>160</v>
      </c>
      <c r="E49" s="59" t="s">
        <v>36</v>
      </c>
      <c r="F49" s="60">
        <v>160</v>
      </c>
      <c r="G49" s="61">
        <v>85000</v>
      </c>
      <c r="H49" s="2">
        <v>13600000</v>
      </c>
    </row>
    <row r="50" spans="1:8">
      <c r="A50" s="111" t="s">
        <v>87</v>
      </c>
      <c r="B50" s="111"/>
      <c r="C50" s="17" t="s">
        <v>88</v>
      </c>
      <c r="D50" s="5">
        <v>25</v>
      </c>
      <c r="E50" s="59" t="s">
        <v>36</v>
      </c>
      <c r="F50" s="60">
        <v>500</v>
      </c>
      <c r="G50" s="48">
        <v>23310</v>
      </c>
      <c r="H50" s="2">
        <v>11655000</v>
      </c>
    </row>
    <row r="51" spans="1:8">
      <c r="A51" s="115" t="s">
        <v>89</v>
      </c>
      <c r="B51" s="116"/>
      <c r="C51" s="50" t="s">
        <v>90</v>
      </c>
      <c r="D51" s="5">
        <v>10</v>
      </c>
      <c r="E51" s="59" t="s">
        <v>29</v>
      </c>
      <c r="F51" s="63">
        <v>2</v>
      </c>
      <c r="G51" s="48">
        <v>57720</v>
      </c>
      <c r="H51" s="2">
        <v>115440</v>
      </c>
    </row>
    <row r="52" spans="1:8">
      <c r="A52" s="111" t="s">
        <v>91</v>
      </c>
      <c r="B52" s="111"/>
      <c r="C52" s="17" t="s">
        <v>92</v>
      </c>
      <c r="D52" s="5">
        <v>10</v>
      </c>
      <c r="E52" s="59" t="s">
        <v>29</v>
      </c>
      <c r="F52" s="60">
        <v>5</v>
      </c>
      <c r="G52" s="48">
        <v>4662</v>
      </c>
      <c r="H52" s="2">
        <v>23310</v>
      </c>
    </row>
    <row r="53" spans="1:8">
      <c r="A53" s="111" t="s">
        <v>93</v>
      </c>
      <c r="B53" s="111"/>
      <c r="C53" s="17" t="s">
        <v>94</v>
      </c>
      <c r="D53" s="5">
        <v>5</v>
      </c>
      <c r="E53" s="59" t="s">
        <v>29</v>
      </c>
      <c r="F53" s="60">
        <v>3</v>
      </c>
      <c r="G53" s="48">
        <v>17594</v>
      </c>
      <c r="H53" s="2">
        <v>52782</v>
      </c>
    </row>
    <row r="54" spans="1:8">
      <c r="A54" s="111" t="s">
        <v>95</v>
      </c>
      <c r="B54" s="111"/>
      <c r="C54" s="17" t="s">
        <v>96</v>
      </c>
      <c r="D54" s="5">
        <v>14</v>
      </c>
      <c r="E54" s="59" t="s">
        <v>29</v>
      </c>
      <c r="F54" s="60">
        <v>5</v>
      </c>
      <c r="G54" s="48">
        <v>18870</v>
      </c>
      <c r="H54" s="2">
        <v>94350</v>
      </c>
    </row>
    <row r="55" spans="1:8">
      <c r="A55" s="111" t="s">
        <v>97</v>
      </c>
      <c r="B55" s="111"/>
      <c r="C55" s="17" t="s">
        <v>98</v>
      </c>
      <c r="D55" s="5">
        <v>12</v>
      </c>
      <c r="E55" s="59" t="s">
        <v>29</v>
      </c>
      <c r="F55" s="60">
        <v>4</v>
      </c>
      <c r="G55" s="48">
        <v>23310</v>
      </c>
      <c r="H55" s="2">
        <v>93240</v>
      </c>
    </row>
    <row r="56" spans="1:8">
      <c r="A56" s="111" t="s">
        <v>99</v>
      </c>
      <c r="B56" s="111"/>
      <c r="C56" s="17" t="s">
        <v>100</v>
      </c>
      <c r="D56" s="5">
        <v>50</v>
      </c>
      <c r="E56" s="59" t="s">
        <v>80</v>
      </c>
      <c r="F56" s="60">
        <v>50</v>
      </c>
      <c r="G56" s="65">
        <v>50505</v>
      </c>
      <c r="H56" s="2">
        <v>2525250</v>
      </c>
    </row>
    <row r="57" spans="1:8">
      <c r="A57" s="117" t="s">
        <v>25</v>
      </c>
      <c r="B57" s="117"/>
      <c r="C57" s="117"/>
      <c r="D57" s="117"/>
      <c r="E57" s="117"/>
      <c r="F57" s="64">
        <v>1168</v>
      </c>
      <c r="G57" s="3">
        <v>892213</v>
      </c>
      <c r="H57" s="3">
        <v>37730686</v>
      </c>
    </row>
    <row r="58" spans="1:8">
      <c r="A58" s="109" t="s">
        <v>101</v>
      </c>
      <c r="B58" s="109"/>
      <c r="C58" s="109"/>
      <c r="D58" s="109"/>
      <c r="E58" s="109"/>
      <c r="F58" s="110"/>
      <c r="G58" s="109"/>
      <c r="H58" s="109"/>
    </row>
    <row r="59" spans="1:8">
      <c r="A59" s="111" t="s">
        <v>102</v>
      </c>
      <c r="B59" s="111"/>
      <c r="C59" s="17" t="s">
        <v>103</v>
      </c>
      <c r="D59" s="5">
        <v>10</v>
      </c>
      <c r="E59" s="59" t="s">
        <v>36</v>
      </c>
      <c r="F59" s="62">
        <v>3</v>
      </c>
      <c r="G59" s="65">
        <v>23255</v>
      </c>
      <c r="H59" s="2">
        <v>69765</v>
      </c>
    </row>
    <row r="60" spans="1:8">
      <c r="A60" s="111" t="s">
        <v>104</v>
      </c>
      <c r="B60" s="111"/>
      <c r="C60" s="17" t="s">
        <v>105</v>
      </c>
      <c r="D60" s="5">
        <v>11</v>
      </c>
      <c r="E60" s="59" t="s">
        <v>36</v>
      </c>
      <c r="F60" s="62">
        <v>4</v>
      </c>
      <c r="G60" s="65">
        <v>25086</v>
      </c>
      <c r="H60" s="2">
        <v>100344</v>
      </c>
    </row>
    <row r="61" spans="1:8">
      <c r="A61" s="111" t="s">
        <v>106</v>
      </c>
      <c r="B61" s="111"/>
      <c r="C61" s="17" t="s">
        <v>107</v>
      </c>
      <c r="D61" s="5">
        <v>10</v>
      </c>
      <c r="E61" s="59" t="s">
        <v>36</v>
      </c>
      <c r="F61" s="60">
        <v>4</v>
      </c>
      <c r="G61" s="65">
        <v>24032</v>
      </c>
      <c r="H61" s="2">
        <v>96128</v>
      </c>
    </row>
    <row r="62" spans="1:8">
      <c r="A62" s="119" t="s">
        <v>108</v>
      </c>
      <c r="B62" s="119"/>
      <c r="C62" s="17" t="s">
        <v>109</v>
      </c>
      <c r="D62" s="5">
        <v>5</v>
      </c>
      <c r="E62" s="59" t="s">
        <v>110</v>
      </c>
      <c r="F62" s="60">
        <v>5</v>
      </c>
      <c r="G62" s="66">
        <v>124459</v>
      </c>
      <c r="H62" s="2">
        <v>622295</v>
      </c>
    </row>
    <row r="63" spans="1:8">
      <c r="A63" s="112" t="s">
        <v>111</v>
      </c>
      <c r="B63" s="113"/>
      <c r="C63" s="17" t="s">
        <v>112</v>
      </c>
      <c r="D63" s="5">
        <v>10</v>
      </c>
      <c r="E63" s="59" t="s">
        <v>110</v>
      </c>
      <c r="F63" s="60">
        <v>4</v>
      </c>
      <c r="G63" s="65">
        <v>73538</v>
      </c>
      <c r="H63" s="2">
        <v>294152</v>
      </c>
    </row>
    <row r="64" spans="1:8">
      <c r="A64" s="111" t="s">
        <v>113</v>
      </c>
      <c r="B64" s="111"/>
      <c r="C64" s="17" t="s">
        <v>114</v>
      </c>
      <c r="D64" s="5">
        <v>453</v>
      </c>
      <c r="E64" s="59" t="s">
        <v>110</v>
      </c>
      <c r="F64" s="60">
        <v>50</v>
      </c>
      <c r="G64" s="66">
        <v>70000</v>
      </c>
      <c r="H64" s="2">
        <v>3500000</v>
      </c>
    </row>
    <row r="65" spans="1:8">
      <c r="A65" s="117" t="s">
        <v>25</v>
      </c>
      <c r="B65" s="117"/>
      <c r="C65" s="117"/>
      <c r="D65" s="117"/>
      <c r="E65" s="117"/>
      <c r="F65" s="64">
        <v>70</v>
      </c>
      <c r="G65" s="3">
        <v>340370</v>
      </c>
      <c r="H65" s="3">
        <v>4682684</v>
      </c>
    </row>
    <row r="66" spans="1:8">
      <c r="A66" s="118" t="s">
        <v>115</v>
      </c>
      <c r="B66" s="118"/>
      <c r="C66" s="118"/>
      <c r="D66" s="118"/>
      <c r="E66" s="118"/>
      <c r="F66" s="118"/>
      <c r="G66" s="118"/>
      <c r="H66" s="118"/>
    </row>
    <row r="67" spans="1:8">
      <c r="A67" s="120" t="s">
        <v>116</v>
      </c>
      <c r="B67" s="120"/>
      <c r="C67" s="35" t="s">
        <v>117</v>
      </c>
      <c r="D67" s="36">
        <v>11</v>
      </c>
      <c r="E67" s="37" t="s">
        <v>39</v>
      </c>
      <c r="F67" s="53">
        <v>9</v>
      </c>
      <c r="G67" s="38">
        <v>191250</v>
      </c>
      <c r="H67" s="38">
        <v>1721250</v>
      </c>
    </row>
    <row r="68" spans="1:8">
      <c r="A68" s="103" t="s">
        <v>118</v>
      </c>
      <c r="B68" s="103"/>
      <c r="C68" s="35" t="s">
        <v>119</v>
      </c>
      <c r="D68" s="36">
        <v>11</v>
      </c>
      <c r="E68" s="37" t="s">
        <v>29</v>
      </c>
      <c r="F68" s="53">
        <v>9</v>
      </c>
      <c r="G68" s="38">
        <v>188750</v>
      </c>
      <c r="H68" s="38">
        <v>1698750</v>
      </c>
    </row>
    <row r="69" spans="1:8">
      <c r="A69" s="104" t="s">
        <v>120</v>
      </c>
      <c r="B69" s="105"/>
      <c r="C69" s="35" t="s">
        <v>121</v>
      </c>
      <c r="D69" s="36"/>
      <c r="E69" s="37" t="s">
        <v>29</v>
      </c>
      <c r="F69" s="36">
        <v>900</v>
      </c>
      <c r="G69" s="38">
        <v>177000.6</v>
      </c>
      <c r="H69" s="38">
        <v>159300540</v>
      </c>
    </row>
    <row r="70" spans="1:8">
      <c r="A70" s="117" t="s">
        <v>25</v>
      </c>
      <c r="B70" s="117"/>
      <c r="C70" s="117"/>
      <c r="D70" s="117"/>
      <c r="E70" s="117"/>
      <c r="F70" s="39">
        <v>918</v>
      </c>
      <c r="G70" s="3">
        <v>557000.6</v>
      </c>
      <c r="H70" s="3">
        <v>162720540</v>
      </c>
    </row>
    <row r="71" spans="1:8">
      <c r="A71" s="122" t="s">
        <v>122</v>
      </c>
      <c r="B71" s="122"/>
      <c r="C71" s="122"/>
      <c r="D71" s="122"/>
      <c r="E71" s="122"/>
      <c r="F71" s="122"/>
      <c r="G71" s="122"/>
      <c r="H71" s="122"/>
    </row>
    <row r="72" spans="1:8">
      <c r="A72" s="117" t="s">
        <v>25</v>
      </c>
      <c r="B72" s="117"/>
      <c r="C72" s="117"/>
      <c r="D72" s="117"/>
      <c r="E72" s="117"/>
      <c r="F72" s="40">
        <v>2976</v>
      </c>
      <c r="G72" s="3">
        <v>1824883.6</v>
      </c>
      <c r="H72" s="3">
        <v>209639910</v>
      </c>
    </row>
    <row r="73" spans="1:8">
      <c r="A73" s="46"/>
      <c r="B73" s="46"/>
      <c r="C73" s="30"/>
      <c r="D73" s="30"/>
      <c r="E73" s="32"/>
      <c r="F73" s="21"/>
      <c r="G73" s="31"/>
      <c r="H73" s="31"/>
    </row>
    <row r="74" spans="1:8">
      <c r="A74" s="99" t="s">
        <v>123</v>
      </c>
      <c r="B74" s="99"/>
      <c r="C74" s="99"/>
      <c r="D74" s="99"/>
      <c r="E74" s="99"/>
      <c r="F74" s="99"/>
      <c r="G74" s="99"/>
      <c r="H74" s="99"/>
    </row>
    <row r="75" spans="1:8">
      <c r="A75" s="15"/>
      <c r="B75" s="15"/>
      <c r="C75" s="16"/>
      <c r="D75" s="21"/>
      <c r="E75" s="16"/>
      <c r="F75" s="16"/>
      <c r="G75" s="15"/>
      <c r="H75" s="15"/>
    </row>
    <row r="76" spans="1:8">
      <c r="A76" s="33"/>
      <c r="B76" s="33"/>
      <c r="C76" s="23"/>
      <c r="D76" s="30"/>
      <c r="E76" s="121" t="s">
        <v>155</v>
      </c>
      <c r="F76" s="121"/>
      <c r="G76" s="121"/>
      <c r="H76" s="121"/>
    </row>
    <row r="77" spans="1:8">
      <c r="A77" s="121" t="s">
        <v>163</v>
      </c>
      <c r="B77" s="121"/>
      <c r="C77" s="121"/>
      <c r="D77" s="30"/>
      <c r="E77" s="121" t="s">
        <v>126</v>
      </c>
      <c r="F77" s="121"/>
      <c r="G77" s="121"/>
      <c r="H77" s="121"/>
    </row>
    <row r="78" spans="1:8">
      <c r="A78" s="18"/>
      <c r="B78" s="18"/>
      <c r="C78" s="22"/>
      <c r="D78" s="30"/>
      <c r="E78" s="34"/>
      <c r="F78" s="14"/>
      <c r="G78" s="4"/>
      <c r="H78" s="4"/>
    </row>
    <row r="79" spans="1:8">
      <c r="A79" s="18"/>
      <c r="B79" s="18"/>
      <c r="C79" s="22"/>
      <c r="D79" s="30"/>
      <c r="E79" s="34"/>
      <c r="F79" s="14"/>
      <c r="G79" s="4"/>
      <c r="H79" s="4"/>
    </row>
    <row r="80" spans="1:8">
      <c r="A80" s="18"/>
      <c r="B80" s="18"/>
      <c r="C80" s="22"/>
      <c r="D80" s="30"/>
      <c r="E80" s="34"/>
      <c r="F80" s="14"/>
      <c r="G80" s="4"/>
      <c r="H80" s="4"/>
    </row>
    <row r="81" spans="1:8">
      <c r="A81" s="123" t="s">
        <v>165</v>
      </c>
      <c r="B81" s="123"/>
      <c r="C81" s="123"/>
      <c r="D81" s="30"/>
      <c r="E81" s="123" t="s">
        <v>128</v>
      </c>
      <c r="F81" s="123"/>
      <c r="G81" s="123"/>
      <c r="H81" s="123"/>
    </row>
    <row r="82" spans="1:8">
      <c r="A82" s="121" t="s">
        <v>164</v>
      </c>
      <c r="B82" s="121"/>
      <c r="C82" s="121"/>
      <c r="D82" s="30"/>
      <c r="E82" s="121" t="s">
        <v>130</v>
      </c>
      <c r="F82" s="121"/>
      <c r="G82" s="121"/>
      <c r="H82" s="121"/>
    </row>
    <row r="83" spans="1:8">
      <c r="A83" s="33"/>
      <c r="B83" s="33"/>
      <c r="C83" s="23"/>
      <c r="D83" s="30"/>
      <c r="E83" s="34"/>
      <c r="F83" s="14"/>
      <c r="G83" s="4"/>
      <c r="H83" s="33"/>
    </row>
    <row r="84" spans="1:8">
      <c r="A84" s="121" t="s">
        <v>131</v>
      </c>
      <c r="B84" s="121"/>
      <c r="C84" s="121"/>
      <c r="D84" s="121"/>
      <c r="E84" s="121"/>
      <c r="F84" s="121"/>
      <c r="G84" s="121"/>
      <c r="H84" s="121"/>
    </row>
    <row r="85" spans="1:8">
      <c r="A85" s="121" t="s">
        <v>132</v>
      </c>
      <c r="B85" s="121"/>
      <c r="C85" s="121"/>
      <c r="D85" s="121"/>
      <c r="E85" s="121"/>
      <c r="F85" s="121"/>
      <c r="G85" s="121"/>
      <c r="H85" s="121"/>
    </row>
    <row r="86" spans="1:8">
      <c r="A86" s="4"/>
      <c r="B86" s="4"/>
      <c r="C86" s="34"/>
      <c r="D86" s="30"/>
      <c r="E86" s="34"/>
      <c r="F86" s="14"/>
      <c r="G86" s="4"/>
      <c r="H86" s="4"/>
    </row>
    <row r="87" spans="1:8">
      <c r="A87" s="4"/>
      <c r="B87" s="4"/>
      <c r="C87" s="34"/>
      <c r="D87" s="30"/>
      <c r="E87" s="34"/>
      <c r="F87" s="14"/>
      <c r="G87" s="4"/>
      <c r="H87" s="4"/>
    </row>
    <row r="88" spans="1:8">
      <c r="A88" s="4"/>
      <c r="B88" s="4"/>
      <c r="C88" s="34"/>
      <c r="D88" s="30"/>
      <c r="E88" s="34"/>
      <c r="F88" s="14"/>
      <c r="G88" s="4"/>
      <c r="H88" s="4"/>
    </row>
    <row r="89" spans="1:8">
      <c r="A89" s="33"/>
      <c r="B89" s="33"/>
      <c r="C89" s="23"/>
      <c r="D89" s="30"/>
      <c r="E89" s="34"/>
      <c r="F89" s="13"/>
      <c r="G89" s="33"/>
      <c r="H89" s="33"/>
    </row>
    <row r="90" spans="1:8">
      <c r="A90" s="123" t="s">
        <v>161</v>
      </c>
      <c r="B90" s="123"/>
      <c r="C90" s="123"/>
      <c r="D90" s="123"/>
      <c r="E90" s="123"/>
      <c r="F90" s="123"/>
      <c r="G90" s="123"/>
      <c r="H90" s="123"/>
    </row>
    <row r="91" spans="1:8">
      <c r="A91" s="121" t="s">
        <v>162</v>
      </c>
      <c r="B91" s="121"/>
      <c r="C91" s="121"/>
      <c r="D91" s="121"/>
      <c r="E91" s="121"/>
      <c r="F91" s="121"/>
      <c r="G91" s="121"/>
      <c r="H91" s="121"/>
    </row>
  </sheetData>
  <mergeCells count="81">
    <mergeCell ref="A90:H90"/>
    <mergeCell ref="A91:H91"/>
    <mergeCell ref="A81:C81"/>
    <mergeCell ref="E81:H81"/>
    <mergeCell ref="A82:C82"/>
    <mergeCell ref="E82:H82"/>
    <mergeCell ref="A84:H84"/>
    <mergeCell ref="A85:H85"/>
    <mergeCell ref="A77:C77"/>
    <mergeCell ref="E77:H77"/>
    <mergeCell ref="A64:B64"/>
    <mergeCell ref="A65:E65"/>
    <mergeCell ref="A66:H66"/>
    <mergeCell ref="A67:B67"/>
    <mergeCell ref="A68:B68"/>
    <mergeCell ref="A69:B69"/>
    <mergeCell ref="A70:E70"/>
    <mergeCell ref="A71:H71"/>
    <mergeCell ref="A72:E72"/>
    <mergeCell ref="A74:H74"/>
    <mergeCell ref="E76:H76"/>
    <mergeCell ref="A63:B63"/>
    <mergeCell ref="A52:B52"/>
    <mergeCell ref="A53:B53"/>
    <mergeCell ref="A54:B54"/>
    <mergeCell ref="A55:B55"/>
    <mergeCell ref="A56:B56"/>
    <mergeCell ref="A57:E57"/>
    <mergeCell ref="A58:H58"/>
    <mergeCell ref="A59:B59"/>
    <mergeCell ref="A60:B60"/>
    <mergeCell ref="A61:B61"/>
    <mergeCell ref="A62:B62"/>
    <mergeCell ref="A51:B51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39:B39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27:B27"/>
    <mergeCell ref="A16:H16"/>
    <mergeCell ref="A17:B17"/>
    <mergeCell ref="A18:B18"/>
    <mergeCell ref="A19:B19"/>
    <mergeCell ref="A20:E20"/>
    <mergeCell ref="A21:H21"/>
    <mergeCell ref="A22:B22"/>
    <mergeCell ref="A23:B23"/>
    <mergeCell ref="A24:B24"/>
    <mergeCell ref="A25:B25"/>
    <mergeCell ref="A26:B26"/>
    <mergeCell ref="A15:B15"/>
    <mergeCell ref="A1:H1"/>
    <mergeCell ref="A2:H2"/>
    <mergeCell ref="A3:H3"/>
    <mergeCell ref="A4:H4"/>
    <mergeCell ref="A5:H5"/>
    <mergeCell ref="A8:H8"/>
    <mergeCell ref="A9:H9"/>
    <mergeCell ref="A11:H11"/>
    <mergeCell ref="A12:H12"/>
    <mergeCell ref="A13:H13"/>
    <mergeCell ref="A14:B14"/>
  </mergeCells>
  <hyperlinks>
    <hyperlink ref="A5" r:id="rId1" display="mailto:dlhbanjarmasin@gmail.com"/>
  </hyperlinks>
  <pageMargins left="0.25" right="0.25" top="0.75" bottom="0.75" header="0.3" footer="0.3"/>
  <pageSetup paperSize="10000" scale="98" orientation="portrait" horizontalDpi="0" verticalDpi="0" r:id="rId2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91"/>
  <sheetViews>
    <sheetView view="pageBreakPreview" topLeftCell="A58" zoomScaleNormal="100" zoomScaleSheetLayoutView="100" workbookViewId="0">
      <selection activeCell="A14" sqref="A14:B14"/>
    </sheetView>
  </sheetViews>
  <sheetFormatPr defaultRowHeight="14.5"/>
  <cols>
    <col min="1" max="2" width="9.6328125" customWidth="1"/>
    <col min="3" max="3" width="31.08984375" customWidth="1"/>
    <col min="7" max="7" width="12.08984375" customWidth="1"/>
    <col min="8" max="8" width="14.453125" customWidth="1"/>
  </cols>
  <sheetData>
    <row r="1" spans="1:8" ht="17.5">
      <c r="A1" s="92" t="s">
        <v>0</v>
      </c>
      <c r="B1" s="92"/>
      <c r="C1" s="92"/>
      <c r="D1" s="92"/>
      <c r="E1" s="92"/>
      <c r="F1" s="92"/>
      <c r="G1" s="92"/>
      <c r="H1" s="92"/>
    </row>
    <row r="2" spans="1:8" ht="22">
      <c r="A2" s="93" t="s">
        <v>1</v>
      </c>
      <c r="B2" s="93"/>
      <c r="C2" s="93"/>
      <c r="D2" s="93"/>
      <c r="E2" s="93"/>
      <c r="F2" s="93"/>
      <c r="G2" s="93"/>
      <c r="H2" s="93"/>
    </row>
    <row r="3" spans="1:8">
      <c r="A3" s="94" t="s">
        <v>2</v>
      </c>
      <c r="B3" s="94"/>
      <c r="C3" s="94"/>
      <c r="D3" s="94"/>
      <c r="E3" s="94"/>
      <c r="F3" s="94"/>
      <c r="G3" s="94"/>
      <c r="H3" s="94"/>
    </row>
    <row r="4" spans="1:8">
      <c r="A4" s="94" t="s">
        <v>3</v>
      </c>
      <c r="B4" s="94"/>
      <c r="C4" s="94"/>
      <c r="D4" s="94"/>
      <c r="E4" s="94"/>
      <c r="F4" s="94"/>
      <c r="G4" s="94"/>
      <c r="H4" s="94"/>
    </row>
    <row r="5" spans="1:8">
      <c r="A5" s="95" t="s">
        <v>4</v>
      </c>
      <c r="B5" s="95"/>
      <c r="C5" s="95"/>
      <c r="D5" s="95"/>
      <c r="E5" s="95"/>
      <c r="F5" s="95"/>
      <c r="G5" s="95"/>
      <c r="H5" s="95"/>
    </row>
    <row r="6" spans="1:8" ht="15" thickBot="1">
      <c r="A6" s="7"/>
      <c r="B6" s="8"/>
      <c r="C6" s="9"/>
      <c r="D6" s="9"/>
      <c r="E6" s="9"/>
      <c r="F6" s="55"/>
      <c r="G6" s="8"/>
      <c r="H6" s="8"/>
    </row>
    <row r="7" spans="1:8" ht="15" thickTop="1">
      <c r="A7" s="10"/>
      <c r="B7" s="11"/>
      <c r="C7" s="6"/>
      <c r="D7" s="6"/>
      <c r="E7" s="6"/>
      <c r="F7" s="47"/>
      <c r="G7" s="11"/>
      <c r="H7" s="11"/>
    </row>
    <row r="8" spans="1:8">
      <c r="A8" s="96" t="s">
        <v>5</v>
      </c>
      <c r="B8" s="96"/>
      <c r="C8" s="96"/>
      <c r="D8" s="96"/>
      <c r="E8" s="96"/>
      <c r="F8" s="96"/>
      <c r="G8" s="96"/>
      <c r="H8" s="96"/>
    </row>
    <row r="9" spans="1:8">
      <c r="A9" s="97" t="s">
        <v>137</v>
      </c>
      <c r="B9" s="97"/>
      <c r="C9" s="97"/>
      <c r="D9" s="97"/>
      <c r="E9" s="97"/>
      <c r="F9" s="97"/>
      <c r="G9" s="97"/>
      <c r="H9" s="97"/>
    </row>
    <row r="10" spans="1:8">
      <c r="A10" s="12"/>
      <c r="B10" s="12"/>
      <c r="C10" s="13"/>
      <c r="D10" s="13"/>
      <c r="E10" s="14"/>
      <c r="F10" s="13"/>
      <c r="G10" s="12"/>
      <c r="H10" s="12"/>
    </row>
    <row r="11" spans="1:8">
      <c r="A11" s="98" t="s">
        <v>156</v>
      </c>
      <c r="B11" s="98"/>
      <c r="C11" s="98"/>
      <c r="D11" s="98"/>
      <c r="E11" s="98"/>
      <c r="F11" s="98"/>
      <c r="G11" s="98"/>
      <c r="H11" s="98"/>
    </row>
    <row r="12" spans="1:8">
      <c r="A12" s="99" t="s">
        <v>8</v>
      </c>
      <c r="B12" s="99"/>
      <c r="C12" s="99"/>
      <c r="D12" s="99"/>
      <c r="E12" s="99"/>
      <c r="F12" s="99"/>
      <c r="G12" s="99"/>
      <c r="H12" s="99"/>
    </row>
    <row r="13" spans="1:8">
      <c r="A13" s="100" t="s">
        <v>142</v>
      </c>
      <c r="B13" s="100"/>
      <c r="C13" s="100"/>
      <c r="D13" s="100"/>
      <c r="E13" s="100"/>
      <c r="F13" s="100"/>
      <c r="G13" s="100"/>
      <c r="H13" s="100"/>
    </row>
    <row r="14" spans="1:8" ht="34.5">
      <c r="A14" s="91" t="s">
        <v>10</v>
      </c>
      <c r="B14" s="91"/>
      <c r="C14" s="25" t="s">
        <v>11</v>
      </c>
      <c r="D14" s="19" t="s">
        <v>12</v>
      </c>
      <c r="E14" s="26" t="s">
        <v>13</v>
      </c>
      <c r="F14" s="41" t="s">
        <v>14</v>
      </c>
      <c r="G14" s="20" t="s">
        <v>15</v>
      </c>
      <c r="H14" s="20" t="s">
        <v>16</v>
      </c>
    </row>
    <row r="15" spans="1:8">
      <c r="A15" s="91">
        <v>1</v>
      </c>
      <c r="B15" s="91"/>
      <c r="C15" s="25">
        <v>2</v>
      </c>
      <c r="D15" s="25">
        <v>3</v>
      </c>
      <c r="E15" s="27">
        <v>4</v>
      </c>
      <c r="F15" s="41">
        <v>5</v>
      </c>
      <c r="G15" s="20">
        <v>6</v>
      </c>
      <c r="H15" s="20">
        <v>7</v>
      </c>
    </row>
    <row r="16" spans="1:8">
      <c r="A16" s="102" t="s">
        <v>17</v>
      </c>
      <c r="B16" s="102"/>
      <c r="C16" s="102"/>
      <c r="D16" s="102"/>
      <c r="E16" s="102"/>
      <c r="F16" s="102"/>
      <c r="G16" s="102"/>
      <c r="H16" s="102"/>
    </row>
    <row r="17" spans="1:8">
      <c r="A17" s="103" t="s">
        <v>18</v>
      </c>
      <c r="B17" s="103"/>
      <c r="C17" s="42" t="s">
        <v>19</v>
      </c>
      <c r="D17" s="45">
        <v>45</v>
      </c>
      <c r="E17" s="37" t="s">
        <v>20</v>
      </c>
      <c r="F17" s="52">
        <v>20</v>
      </c>
      <c r="G17" s="56">
        <v>25300</v>
      </c>
      <c r="H17" s="44">
        <v>506000</v>
      </c>
    </row>
    <row r="18" spans="1:8">
      <c r="A18" s="104" t="s">
        <v>21</v>
      </c>
      <c r="B18" s="105"/>
      <c r="C18" s="42" t="s">
        <v>22</v>
      </c>
      <c r="D18" s="43">
        <v>1000</v>
      </c>
      <c r="E18" s="37" t="s">
        <v>20</v>
      </c>
      <c r="F18" s="52">
        <v>500</v>
      </c>
      <c r="G18" s="56">
        <v>5000</v>
      </c>
      <c r="H18" s="44">
        <v>2500000</v>
      </c>
    </row>
    <row r="19" spans="1:8">
      <c r="A19" s="103" t="s">
        <v>23</v>
      </c>
      <c r="B19" s="103"/>
      <c r="C19" s="42" t="s">
        <v>24</v>
      </c>
      <c r="D19" s="43">
        <v>490</v>
      </c>
      <c r="E19" s="37" t="s">
        <v>20</v>
      </c>
      <c r="F19" s="52">
        <v>300</v>
      </c>
      <c r="G19" s="56">
        <v>5000</v>
      </c>
      <c r="H19" s="44">
        <v>1500000</v>
      </c>
    </row>
    <row r="20" spans="1:8">
      <c r="A20" s="106" t="s">
        <v>25</v>
      </c>
      <c r="B20" s="107"/>
      <c r="C20" s="107"/>
      <c r="D20" s="107"/>
      <c r="E20" s="108"/>
      <c r="F20" s="57">
        <v>820</v>
      </c>
      <c r="G20" s="58">
        <v>35300</v>
      </c>
      <c r="H20" s="51">
        <v>4506000</v>
      </c>
    </row>
    <row r="21" spans="1:8">
      <c r="A21" s="109" t="s">
        <v>26</v>
      </c>
      <c r="B21" s="109"/>
      <c r="C21" s="109"/>
      <c r="D21" s="109"/>
      <c r="E21" s="109"/>
      <c r="F21" s="110"/>
      <c r="G21" s="109"/>
      <c r="H21" s="109"/>
    </row>
    <row r="22" spans="1:8">
      <c r="A22" s="111" t="s">
        <v>27</v>
      </c>
      <c r="B22" s="111"/>
      <c r="C22" s="17" t="s">
        <v>28</v>
      </c>
      <c r="D22" s="5">
        <v>5</v>
      </c>
      <c r="E22" s="59" t="s">
        <v>29</v>
      </c>
      <c r="F22" s="60">
        <v>4</v>
      </c>
      <c r="G22" s="48">
        <v>31635</v>
      </c>
      <c r="H22" s="2">
        <v>126540</v>
      </c>
    </row>
    <row r="23" spans="1:8">
      <c r="A23" s="111" t="s">
        <v>30</v>
      </c>
      <c r="B23" s="111"/>
      <c r="C23" s="17" t="s">
        <v>31</v>
      </c>
      <c r="D23" s="5">
        <v>10</v>
      </c>
      <c r="E23" s="59" t="s">
        <v>29</v>
      </c>
      <c r="F23" s="60">
        <v>6</v>
      </c>
      <c r="G23" s="48">
        <v>22755</v>
      </c>
      <c r="H23" s="2">
        <v>136530</v>
      </c>
    </row>
    <row r="24" spans="1:8">
      <c r="A24" s="111" t="s">
        <v>32</v>
      </c>
      <c r="B24" s="111"/>
      <c r="C24" s="17" t="s">
        <v>33</v>
      </c>
      <c r="D24" s="5">
        <v>10</v>
      </c>
      <c r="E24" s="59" t="s">
        <v>29</v>
      </c>
      <c r="F24" s="60">
        <v>10</v>
      </c>
      <c r="G24" s="48">
        <v>42735</v>
      </c>
      <c r="H24" s="2">
        <v>427350</v>
      </c>
    </row>
    <row r="25" spans="1:8">
      <c r="A25" s="111" t="s">
        <v>34</v>
      </c>
      <c r="B25" s="111"/>
      <c r="C25" s="17" t="s">
        <v>35</v>
      </c>
      <c r="D25" s="5">
        <v>51</v>
      </c>
      <c r="E25" s="59" t="s">
        <v>36</v>
      </c>
      <c r="F25" s="60">
        <v>20</v>
      </c>
      <c r="G25" s="48">
        <v>4662</v>
      </c>
      <c r="H25" s="2">
        <v>93240</v>
      </c>
    </row>
    <row r="26" spans="1:8">
      <c r="A26" s="111" t="s">
        <v>37</v>
      </c>
      <c r="B26" s="111"/>
      <c r="C26" s="17" t="s">
        <v>38</v>
      </c>
      <c r="D26" s="5">
        <v>10</v>
      </c>
      <c r="E26" s="59" t="s">
        <v>39</v>
      </c>
      <c r="F26" s="60">
        <v>3</v>
      </c>
      <c r="G26" s="48">
        <v>22200</v>
      </c>
      <c r="H26" s="2">
        <v>66600</v>
      </c>
    </row>
    <row r="27" spans="1:8">
      <c r="A27" s="101" t="s">
        <v>40</v>
      </c>
      <c r="B27" s="101"/>
      <c r="C27" s="17" t="s">
        <v>41</v>
      </c>
      <c r="D27" s="5">
        <v>5</v>
      </c>
      <c r="E27" s="59" t="s">
        <v>39</v>
      </c>
      <c r="F27" s="60">
        <v>1</v>
      </c>
      <c r="G27" s="48">
        <v>115440</v>
      </c>
      <c r="H27" s="2">
        <v>115440</v>
      </c>
    </row>
    <row r="28" spans="1:8">
      <c r="A28" s="111" t="s">
        <v>42</v>
      </c>
      <c r="B28" s="111"/>
      <c r="C28" s="17" t="s">
        <v>43</v>
      </c>
      <c r="D28" s="5">
        <v>50</v>
      </c>
      <c r="E28" s="59" t="s">
        <v>29</v>
      </c>
      <c r="F28" s="60">
        <v>9</v>
      </c>
      <c r="G28" s="48">
        <v>29970</v>
      </c>
      <c r="H28" s="2">
        <v>269730</v>
      </c>
    </row>
    <row r="29" spans="1:8">
      <c r="A29" s="111" t="s">
        <v>44</v>
      </c>
      <c r="B29" s="111"/>
      <c r="C29" s="17" t="s">
        <v>45</v>
      </c>
      <c r="D29" s="5">
        <v>25</v>
      </c>
      <c r="E29" s="59" t="s">
        <v>29</v>
      </c>
      <c r="F29" s="60">
        <v>11</v>
      </c>
      <c r="G29" s="48">
        <v>5883</v>
      </c>
      <c r="H29" s="2">
        <v>64713</v>
      </c>
    </row>
    <row r="30" spans="1:8">
      <c r="A30" s="111" t="s">
        <v>46</v>
      </c>
      <c r="B30" s="111"/>
      <c r="C30" s="17" t="s">
        <v>47</v>
      </c>
      <c r="D30" s="5">
        <v>51</v>
      </c>
      <c r="E30" s="59" t="s">
        <v>36</v>
      </c>
      <c r="F30" s="60">
        <v>8</v>
      </c>
      <c r="G30" s="48">
        <v>5717</v>
      </c>
      <c r="H30" s="2">
        <v>45736</v>
      </c>
    </row>
    <row r="31" spans="1:8">
      <c r="A31" s="111" t="s">
        <v>48</v>
      </c>
      <c r="B31" s="111"/>
      <c r="C31" s="17" t="s">
        <v>49</v>
      </c>
      <c r="D31" s="5">
        <v>50</v>
      </c>
      <c r="E31" s="59" t="s">
        <v>29</v>
      </c>
      <c r="F31" s="60">
        <v>48</v>
      </c>
      <c r="G31" s="48">
        <v>46898</v>
      </c>
      <c r="H31" s="2">
        <v>2251104</v>
      </c>
    </row>
    <row r="32" spans="1:8">
      <c r="A32" s="111" t="s">
        <v>50</v>
      </c>
      <c r="B32" s="111"/>
      <c r="C32" s="17" t="s">
        <v>51</v>
      </c>
      <c r="D32" s="5">
        <v>50</v>
      </c>
      <c r="E32" s="59" t="s">
        <v>36</v>
      </c>
      <c r="F32" s="60">
        <v>38</v>
      </c>
      <c r="G32" s="48">
        <v>11100</v>
      </c>
      <c r="H32" s="2">
        <v>421800</v>
      </c>
    </row>
    <row r="33" spans="1:8">
      <c r="A33" s="111" t="s">
        <v>52</v>
      </c>
      <c r="B33" s="111"/>
      <c r="C33" s="17" t="s">
        <v>53</v>
      </c>
      <c r="D33" s="5">
        <v>10</v>
      </c>
      <c r="E33" s="59" t="s">
        <v>29</v>
      </c>
      <c r="F33" s="60">
        <v>8</v>
      </c>
      <c r="G33" s="48">
        <v>23310</v>
      </c>
      <c r="H33" s="2">
        <v>186480</v>
      </c>
    </row>
    <row r="34" spans="1:8">
      <c r="A34" s="111" t="s">
        <v>54</v>
      </c>
      <c r="B34" s="111"/>
      <c r="C34" s="17" t="s">
        <v>55</v>
      </c>
      <c r="D34" s="5">
        <v>3</v>
      </c>
      <c r="E34" s="59" t="s">
        <v>29</v>
      </c>
      <c r="F34" s="60">
        <v>3</v>
      </c>
      <c r="G34" s="48">
        <v>13320</v>
      </c>
      <c r="H34" s="2">
        <v>39960</v>
      </c>
    </row>
    <row r="35" spans="1:8">
      <c r="A35" s="111" t="s">
        <v>56</v>
      </c>
      <c r="B35" s="111"/>
      <c r="C35" s="17" t="s">
        <v>57</v>
      </c>
      <c r="D35" s="5">
        <v>25</v>
      </c>
      <c r="E35" s="59" t="s">
        <v>36</v>
      </c>
      <c r="F35" s="60">
        <v>3</v>
      </c>
      <c r="G35" s="48">
        <v>28860</v>
      </c>
      <c r="H35" s="2">
        <v>86580</v>
      </c>
    </row>
    <row r="36" spans="1:8">
      <c r="A36" s="111" t="s">
        <v>58</v>
      </c>
      <c r="B36" s="111"/>
      <c r="C36" s="17" t="s">
        <v>59</v>
      </c>
      <c r="D36" s="5">
        <v>25</v>
      </c>
      <c r="E36" s="59" t="s">
        <v>36</v>
      </c>
      <c r="F36" s="60">
        <v>5</v>
      </c>
      <c r="G36" s="48">
        <v>19148</v>
      </c>
      <c r="H36" s="2">
        <v>95740</v>
      </c>
    </row>
    <row r="37" spans="1:8">
      <c r="A37" s="111" t="s">
        <v>60</v>
      </c>
      <c r="B37" s="111"/>
      <c r="C37" s="17" t="s">
        <v>61</v>
      </c>
      <c r="D37" s="5">
        <v>59</v>
      </c>
      <c r="E37" s="59" t="s">
        <v>36</v>
      </c>
      <c r="F37" s="60">
        <v>18</v>
      </c>
      <c r="G37" s="48">
        <v>4662</v>
      </c>
      <c r="H37" s="2">
        <v>83916</v>
      </c>
    </row>
    <row r="38" spans="1:8">
      <c r="A38" s="111" t="s">
        <v>62</v>
      </c>
      <c r="B38" s="111"/>
      <c r="C38" s="17" t="s">
        <v>63</v>
      </c>
      <c r="D38" s="5">
        <v>24</v>
      </c>
      <c r="E38" s="59" t="s">
        <v>36</v>
      </c>
      <c r="F38" s="60">
        <v>1</v>
      </c>
      <c r="G38" s="48">
        <v>5550</v>
      </c>
      <c r="H38" s="2">
        <v>5550</v>
      </c>
    </row>
    <row r="39" spans="1:8">
      <c r="A39" s="114" t="s">
        <v>64</v>
      </c>
      <c r="B39" s="114"/>
      <c r="C39" s="54" t="s">
        <v>65</v>
      </c>
      <c r="D39" s="5">
        <v>25</v>
      </c>
      <c r="E39" s="59" t="s">
        <v>36</v>
      </c>
      <c r="F39" s="62">
        <v>3</v>
      </c>
      <c r="G39" s="48">
        <v>13154</v>
      </c>
      <c r="H39" s="2">
        <v>39462</v>
      </c>
    </row>
    <row r="40" spans="1:8">
      <c r="A40" s="115" t="s">
        <v>66</v>
      </c>
      <c r="B40" s="116"/>
      <c r="C40" s="50" t="s">
        <v>67</v>
      </c>
      <c r="D40" s="5">
        <v>26</v>
      </c>
      <c r="E40" s="59" t="s">
        <v>36</v>
      </c>
      <c r="F40" s="62">
        <v>12</v>
      </c>
      <c r="G40" s="48">
        <v>10545</v>
      </c>
      <c r="H40" s="2">
        <v>126540</v>
      </c>
    </row>
    <row r="41" spans="1:8">
      <c r="A41" s="111" t="s">
        <v>68</v>
      </c>
      <c r="B41" s="111"/>
      <c r="C41" s="17" t="s">
        <v>69</v>
      </c>
      <c r="D41" s="5">
        <v>12</v>
      </c>
      <c r="E41" s="59" t="s">
        <v>29</v>
      </c>
      <c r="F41" s="60">
        <v>4</v>
      </c>
      <c r="G41" s="48">
        <v>11100</v>
      </c>
      <c r="H41" s="2">
        <v>44400</v>
      </c>
    </row>
    <row r="42" spans="1:8">
      <c r="A42" s="112" t="s">
        <v>70</v>
      </c>
      <c r="B42" s="113"/>
      <c r="C42" s="49" t="s">
        <v>71</v>
      </c>
      <c r="D42" s="5">
        <v>12</v>
      </c>
      <c r="E42" s="59" t="s">
        <v>29</v>
      </c>
      <c r="F42" s="60">
        <v>2</v>
      </c>
      <c r="G42" s="48">
        <v>12210</v>
      </c>
      <c r="H42" s="2">
        <v>24420</v>
      </c>
    </row>
    <row r="43" spans="1:8">
      <c r="A43" s="111" t="s">
        <v>72</v>
      </c>
      <c r="B43" s="111"/>
      <c r="C43" s="17" t="s">
        <v>73</v>
      </c>
      <c r="D43" s="5">
        <v>24</v>
      </c>
      <c r="E43" s="59" t="s">
        <v>29</v>
      </c>
      <c r="F43" s="60">
        <v>6</v>
      </c>
      <c r="G43" s="48">
        <v>11655</v>
      </c>
      <c r="H43" s="2">
        <v>69930</v>
      </c>
    </row>
    <row r="44" spans="1:8">
      <c r="A44" s="111" t="s">
        <v>74</v>
      </c>
      <c r="B44" s="111"/>
      <c r="C44" s="17" t="s">
        <v>75</v>
      </c>
      <c r="D44" s="5">
        <v>50</v>
      </c>
      <c r="E44" s="59" t="s">
        <v>29</v>
      </c>
      <c r="F44" s="60">
        <v>30</v>
      </c>
      <c r="G44" s="48">
        <v>22200</v>
      </c>
      <c r="H44" s="2">
        <v>666000</v>
      </c>
    </row>
    <row r="45" spans="1:8">
      <c r="A45" s="112" t="s">
        <v>76</v>
      </c>
      <c r="B45" s="113"/>
      <c r="C45" s="49" t="s">
        <v>77</v>
      </c>
      <c r="D45" s="5">
        <v>21</v>
      </c>
      <c r="E45" s="59" t="s">
        <v>29</v>
      </c>
      <c r="F45" s="60">
        <v>11</v>
      </c>
      <c r="G45" s="48">
        <v>35798</v>
      </c>
      <c r="H45" s="2">
        <v>393778</v>
      </c>
    </row>
    <row r="46" spans="1:8">
      <c r="A46" s="111" t="s">
        <v>78</v>
      </c>
      <c r="B46" s="111"/>
      <c r="C46" s="17" t="s">
        <v>79</v>
      </c>
      <c r="D46" s="5">
        <v>100</v>
      </c>
      <c r="E46" s="59" t="s">
        <v>80</v>
      </c>
      <c r="F46" s="60">
        <v>70</v>
      </c>
      <c r="G46" s="48">
        <v>46065</v>
      </c>
      <c r="H46" s="2">
        <v>3224550</v>
      </c>
    </row>
    <row r="47" spans="1:8">
      <c r="A47" s="111" t="s">
        <v>81</v>
      </c>
      <c r="B47" s="111"/>
      <c r="C47" s="49" t="s">
        <v>82</v>
      </c>
      <c r="D47" s="5">
        <v>11</v>
      </c>
      <c r="E47" s="59" t="s">
        <v>29</v>
      </c>
      <c r="F47" s="62">
        <v>5</v>
      </c>
      <c r="G47" s="48">
        <v>10545</v>
      </c>
      <c r="H47" s="2">
        <v>52725</v>
      </c>
    </row>
    <row r="48" spans="1:8">
      <c r="A48" s="111" t="s">
        <v>83</v>
      </c>
      <c r="B48" s="111"/>
      <c r="C48" s="17" t="s">
        <v>84</v>
      </c>
      <c r="D48" s="5">
        <v>100</v>
      </c>
      <c r="E48" s="59" t="s">
        <v>36</v>
      </c>
      <c r="F48" s="60">
        <v>100</v>
      </c>
      <c r="G48" s="2">
        <v>4125</v>
      </c>
      <c r="H48" s="2">
        <v>412500</v>
      </c>
    </row>
    <row r="49" spans="1:8">
      <c r="A49" s="111" t="s">
        <v>85</v>
      </c>
      <c r="B49" s="111"/>
      <c r="C49" s="17" t="s">
        <v>86</v>
      </c>
      <c r="D49" s="5">
        <v>160</v>
      </c>
      <c r="E49" s="59" t="s">
        <v>36</v>
      </c>
      <c r="F49" s="60">
        <v>160</v>
      </c>
      <c r="G49" s="61">
        <v>85000</v>
      </c>
      <c r="H49" s="2">
        <v>13600000</v>
      </c>
    </row>
    <row r="50" spans="1:8">
      <c r="A50" s="111" t="s">
        <v>87</v>
      </c>
      <c r="B50" s="111"/>
      <c r="C50" s="17" t="s">
        <v>88</v>
      </c>
      <c r="D50" s="5">
        <v>25</v>
      </c>
      <c r="E50" s="59" t="s">
        <v>36</v>
      </c>
      <c r="F50" s="60">
        <v>500</v>
      </c>
      <c r="G50" s="48">
        <v>23310</v>
      </c>
      <c r="H50" s="2">
        <v>11655000</v>
      </c>
    </row>
    <row r="51" spans="1:8">
      <c r="A51" s="115" t="s">
        <v>89</v>
      </c>
      <c r="B51" s="116"/>
      <c r="C51" s="50" t="s">
        <v>90</v>
      </c>
      <c r="D51" s="5">
        <v>10</v>
      </c>
      <c r="E51" s="59" t="s">
        <v>29</v>
      </c>
      <c r="F51" s="63">
        <v>2</v>
      </c>
      <c r="G51" s="48">
        <v>57720</v>
      </c>
      <c r="H51" s="2">
        <v>115440</v>
      </c>
    </row>
    <row r="52" spans="1:8">
      <c r="A52" s="111" t="s">
        <v>91</v>
      </c>
      <c r="B52" s="111"/>
      <c r="C52" s="17" t="s">
        <v>92</v>
      </c>
      <c r="D52" s="5">
        <v>10</v>
      </c>
      <c r="E52" s="59" t="s">
        <v>29</v>
      </c>
      <c r="F52" s="60">
        <v>5</v>
      </c>
      <c r="G52" s="48">
        <v>4662</v>
      </c>
      <c r="H52" s="2">
        <v>23310</v>
      </c>
    </row>
    <row r="53" spans="1:8">
      <c r="A53" s="111" t="s">
        <v>93</v>
      </c>
      <c r="B53" s="111"/>
      <c r="C53" s="17" t="s">
        <v>94</v>
      </c>
      <c r="D53" s="5">
        <v>5</v>
      </c>
      <c r="E53" s="59" t="s">
        <v>29</v>
      </c>
      <c r="F53" s="60">
        <v>3</v>
      </c>
      <c r="G53" s="48">
        <v>17594</v>
      </c>
      <c r="H53" s="2">
        <v>52782</v>
      </c>
    </row>
    <row r="54" spans="1:8">
      <c r="A54" s="111" t="s">
        <v>95</v>
      </c>
      <c r="B54" s="111"/>
      <c r="C54" s="17" t="s">
        <v>96</v>
      </c>
      <c r="D54" s="5">
        <v>14</v>
      </c>
      <c r="E54" s="59" t="s">
        <v>29</v>
      </c>
      <c r="F54" s="60">
        <v>5</v>
      </c>
      <c r="G54" s="48">
        <v>18870</v>
      </c>
      <c r="H54" s="2">
        <v>94350</v>
      </c>
    </row>
    <row r="55" spans="1:8">
      <c r="A55" s="111" t="s">
        <v>97</v>
      </c>
      <c r="B55" s="111"/>
      <c r="C55" s="17" t="s">
        <v>98</v>
      </c>
      <c r="D55" s="5">
        <v>12</v>
      </c>
      <c r="E55" s="59" t="s">
        <v>29</v>
      </c>
      <c r="F55" s="60">
        <v>4</v>
      </c>
      <c r="G55" s="48">
        <v>23310</v>
      </c>
      <c r="H55" s="2">
        <v>93240</v>
      </c>
    </row>
    <row r="56" spans="1:8">
      <c r="A56" s="111" t="s">
        <v>99</v>
      </c>
      <c r="B56" s="111"/>
      <c r="C56" s="17" t="s">
        <v>100</v>
      </c>
      <c r="D56" s="5">
        <v>50</v>
      </c>
      <c r="E56" s="59" t="s">
        <v>80</v>
      </c>
      <c r="F56" s="60">
        <v>50</v>
      </c>
      <c r="G56" s="65">
        <v>50505</v>
      </c>
      <c r="H56" s="2">
        <v>2525250</v>
      </c>
    </row>
    <row r="57" spans="1:8">
      <c r="A57" s="117" t="s">
        <v>25</v>
      </c>
      <c r="B57" s="117"/>
      <c r="C57" s="117"/>
      <c r="D57" s="117"/>
      <c r="E57" s="117"/>
      <c r="F57" s="64">
        <v>1168</v>
      </c>
      <c r="G57" s="3">
        <v>892213</v>
      </c>
      <c r="H57" s="3">
        <v>37730686</v>
      </c>
    </row>
    <row r="58" spans="1:8">
      <c r="A58" s="109" t="s">
        <v>101</v>
      </c>
      <c r="B58" s="109"/>
      <c r="C58" s="109"/>
      <c r="D58" s="109"/>
      <c r="E58" s="109"/>
      <c r="F58" s="110"/>
      <c r="G58" s="109"/>
      <c r="H58" s="109"/>
    </row>
    <row r="59" spans="1:8">
      <c r="A59" s="111" t="s">
        <v>102</v>
      </c>
      <c r="B59" s="111"/>
      <c r="C59" s="17" t="s">
        <v>103</v>
      </c>
      <c r="D59" s="5">
        <v>10</v>
      </c>
      <c r="E59" s="59" t="s">
        <v>36</v>
      </c>
      <c r="F59" s="62">
        <v>3</v>
      </c>
      <c r="G59" s="65">
        <v>23255</v>
      </c>
      <c r="H59" s="2">
        <v>69765</v>
      </c>
    </row>
    <row r="60" spans="1:8">
      <c r="A60" s="111" t="s">
        <v>104</v>
      </c>
      <c r="B60" s="111"/>
      <c r="C60" s="17" t="s">
        <v>105</v>
      </c>
      <c r="D60" s="5">
        <v>11</v>
      </c>
      <c r="E60" s="59" t="s">
        <v>36</v>
      </c>
      <c r="F60" s="62">
        <v>4</v>
      </c>
      <c r="G60" s="65">
        <v>25086</v>
      </c>
      <c r="H60" s="2">
        <v>100344</v>
      </c>
    </row>
    <row r="61" spans="1:8">
      <c r="A61" s="111" t="s">
        <v>106</v>
      </c>
      <c r="B61" s="111"/>
      <c r="C61" s="17" t="s">
        <v>107</v>
      </c>
      <c r="D61" s="5">
        <v>10</v>
      </c>
      <c r="E61" s="59" t="s">
        <v>36</v>
      </c>
      <c r="F61" s="60">
        <v>4</v>
      </c>
      <c r="G61" s="65">
        <v>24032</v>
      </c>
      <c r="H61" s="2">
        <v>96128</v>
      </c>
    </row>
    <row r="62" spans="1:8">
      <c r="A62" s="119" t="s">
        <v>108</v>
      </c>
      <c r="B62" s="119"/>
      <c r="C62" s="17" t="s">
        <v>109</v>
      </c>
      <c r="D62" s="5">
        <v>5</v>
      </c>
      <c r="E62" s="59" t="s">
        <v>110</v>
      </c>
      <c r="F62" s="60">
        <v>5</v>
      </c>
      <c r="G62" s="66">
        <v>124459</v>
      </c>
      <c r="H62" s="2">
        <v>622295</v>
      </c>
    </row>
    <row r="63" spans="1:8">
      <c r="A63" s="112" t="s">
        <v>111</v>
      </c>
      <c r="B63" s="113"/>
      <c r="C63" s="17" t="s">
        <v>112</v>
      </c>
      <c r="D63" s="5">
        <v>10</v>
      </c>
      <c r="E63" s="59" t="s">
        <v>110</v>
      </c>
      <c r="F63" s="60">
        <v>4</v>
      </c>
      <c r="G63" s="65">
        <v>73538</v>
      </c>
      <c r="H63" s="2">
        <v>294152</v>
      </c>
    </row>
    <row r="64" spans="1:8">
      <c r="A64" s="111" t="s">
        <v>113</v>
      </c>
      <c r="B64" s="111"/>
      <c r="C64" s="17" t="s">
        <v>114</v>
      </c>
      <c r="D64" s="5">
        <v>453</v>
      </c>
      <c r="E64" s="59" t="s">
        <v>110</v>
      </c>
      <c r="F64" s="60">
        <v>50</v>
      </c>
      <c r="G64" s="66">
        <v>70000</v>
      </c>
      <c r="H64" s="2">
        <v>3500000</v>
      </c>
    </row>
    <row r="65" spans="1:8">
      <c r="A65" s="117" t="s">
        <v>25</v>
      </c>
      <c r="B65" s="117"/>
      <c r="C65" s="117"/>
      <c r="D65" s="117"/>
      <c r="E65" s="117"/>
      <c r="F65" s="64">
        <v>70</v>
      </c>
      <c r="G65" s="3">
        <v>340370</v>
      </c>
      <c r="H65" s="3">
        <v>4682684</v>
      </c>
    </row>
    <row r="66" spans="1:8">
      <c r="A66" s="118" t="s">
        <v>115</v>
      </c>
      <c r="B66" s="118"/>
      <c r="C66" s="118"/>
      <c r="D66" s="118"/>
      <c r="E66" s="118"/>
      <c r="F66" s="118"/>
      <c r="G66" s="118"/>
      <c r="H66" s="118"/>
    </row>
    <row r="67" spans="1:8">
      <c r="A67" s="120" t="s">
        <v>116</v>
      </c>
      <c r="B67" s="120"/>
      <c r="C67" s="35" t="s">
        <v>117</v>
      </c>
      <c r="D67" s="36">
        <v>11</v>
      </c>
      <c r="E67" s="37" t="s">
        <v>39</v>
      </c>
      <c r="F67" s="53">
        <v>9</v>
      </c>
      <c r="G67" s="38">
        <v>191250</v>
      </c>
      <c r="H67" s="38">
        <v>1721250</v>
      </c>
    </row>
    <row r="68" spans="1:8">
      <c r="A68" s="103" t="s">
        <v>118</v>
      </c>
      <c r="B68" s="103"/>
      <c r="C68" s="35" t="s">
        <v>119</v>
      </c>
      <c r="D68" s="36">
        <v>11</v>
      </c>
      <c r="E68" s="37" t="s">
        <v>29</v>
      </c>
      <c r="F68" s="53">
        <v>9</v>
      </c>
      <c r="G68" s="38">
        <v>188750</v>
      </c>
      <c r="H68" s="38">
        <v>1698750</v>
      </c>
    </row>
    <row r="69" spans="1:8">
      <c r="A69" s="104" t="s">
        <v>120</v>
      </c>
      <c r="B69" s="105"/>
      <c r="C69" s="35" t="s">
        <v>121</v>
      </c>
      <c r="D69" s="36"/>
      <c r="E69" s="37" t="s">
        <v>29</v>
      </c>
      <c r="F69" s="36">
        <v>900</v>
      </c>
      <c r="G69" s="38">
        <v>177000.6</v>
      </c>
      <c r="H69" s="38">
        <v>159300540</v>
      </c>
    </row>
    <row r="70" spans="1:8">
      <c r="A70" s="117" t="s">
        <v>25</v>
      </c>
      <c r="B70" s="117"/>
      <c r="C70" s="117"/>
      <c r="D70" s="117"/>
      <c r="E70" s="117"/>
      <c r="F70" s="39">
        <v>918</v>
      </c>
      <c r="G70" s="3">
        <v>557000.6</v>
      </c>
      <c r="H70" s="3">
        <v>162720540</v>
      </c>
    </row>
    <row r="71" spans="1:8">
      <c r="A71" s="122" t="s">
        <v>122</v>
      </c>
      <c r="B71" s="122"/>
      <c r="C71" s="122"/>
      <c r="D71" s="122"/>
      <c r="E71" s="122"/>
      <c r="F71" s="122"/>
      <c r="G71" s="122"/>
      <c r="H71" s="122"/>
    </row>
    <row r="72" spans="1:8">
      <c r="A72" s="117" t="s">
        <v>25</v>
      </c>
      <c r="B72" s="117"/>
      <c r="C72" s="117"/>
      <c r="D72" s="117"/>
      <c r="E72" s="117"/>
      <c r="F72" s="40">
        <v>2976</v>
      </c>
      <c r="G72" s="3">
        <v>1824883.6</v>
      </c>
      <c r="H72" s="3">
        <v>209639910</v>
      </c>
    </row>
    <row r="73" spans="1:8">
      <c r="A73" s="46"/>
      <c r="B73" s="46"/>
      <c r="C73" s="30"/>
      <c r="D73" s="30"/>
      <c r="E73" s="32"/>
      <c r="F73" s="21"/>
      <c r="G73" s="31"/>
      <c r="H73" s="31"/>
    </row>
    <row r="74" spans="1:8">
      <c r="A74" s="99" t="s">
        <v>123</v>
      </c>
      <c r="B74" s="99"/>
      <c r="C74" s="99"/>
      <c r="D74" s="99"/>
      <c r="E74" s="99"/>
      <c r="F74" s="99"/>
      <c r="G74" s="99"/>
      <c r="H74" s="99"/>
    </row>
    <row r="75" spans="1:8">
      <c r="A75" s="15"/>
      <c r="B75" s="15"/>
      <c r="C75" s="16"/>
      <c r="D75" s="21"/>
      <c r="E75" s="16"/>
      <c r="F75" s="16"/>
      <c r="G75" s="15"/>
      <c r="H75" s="15"/>
    </row>
    <row r="76" spans="1:8">
      <c r="A76" s="33"/>
      <c r="B76" s="33"/>
      <c r="C76" s="23"/>
      <c r="D76" s="30"/>
      <c r="E76" s="121" t="s">
        <v>157</v>
      </c>
      <c r="F76" s="121"/>
      <c r="G76" s="121"/>
      <c r="H76" s="121"/>
    </row>
    <row r="77" spans="1:8">
      <c r="A77" s="121" t="s">
        <v>163</v>
      </c>
      <c r="B77" s="121"/>
      <c r="C77" s="121"/>
      <c r="D77" s="30"/>
      <c r="E77" s="121" t="s">
        <v>126</v>
      </c>
      <c r="F77" s="121"/>
      <c r="G77" s="121"/>
      <c r="H77" s="121"/>
    </row>
    <row r="78" spans="1:8">
      <c r="A78" s="18"/>
      <c r="B78" s="18"/>
      <c r="C78" s="22"/>
      <c r="D78" s="30"/>
      <c r="E78" s="34"/>
      <c r="F78" s="14"/>
      <c r="G78" s="4"/>
      <c r="H78" s="4"/>
    </row>
    <row r="79" spans="1:8">
      <c r="A79" s="18"/>
      <c r="B79" s="18"/>
      <c r="C79" s="22"/>
      <c r="D79" s="30"/>
      <c r="E79" s="34"/>
      <c r="F79" s="14"/>
      <c r="G79" s="4"/>
      <c r="H79" s="4"/>
    </row>
    <row r="80" spans="1:8">
      <c r="A80" s="18"/>
      <c r="B80" s="18"/>
      <c r="C80" s="22"/>
      <c r="D80" s="30"/>
      <c r="E80" s="34"/>
      <c r="F80" s="14"/>
      <c r="G80" s="4"/>
      <c r="H80" s="4"/>
    </row>
    <row r="81" spans="1:8">
      <c r="A81" s="123" t="s">
        <v>165</v>
      </c>
      <c r="B81" s="123"/>
      <c r="C81" s="123"/>
      <c r="D81" s="30"/>
      <c r="E81" s="123" t="s">
        <v>128</v>
      </c>
      <c r="F81" s="123"/>
      <c r="G81" s="123"/>
      <c r="H81" s="123"/>
    </row>
    <row r="82" spans="1:8">
      <c r="A82" s="121" t="s">
        <v>164</v>
      </c>
      <c r="B82" s="121"/>
      <c r="C82" s="121"/>
      <c r="D82" s="30"/>
      <c r="E82" s="121" t="s">
        <v>130</v>
      </c>
      <c r="F82" s="121"/>
      <c r="G82" s="121"/>
      <c r="H82" s="121"/>
    </row>
    <row r="83" spans="1:8">
      <c r="A83" s="33"/>
      <c r="B83" s="33"/>
      <c r="C83" s="23"/>
      <c r="D83" s="30"/>
      <c r="E83" s="34"/>
      <c r="F83" s="14"/>
      <c r="G83" s="4"/>
      <c r="H83" s="33"/>
    </row>
    <row r="84" spans="1:8">
      <c r="A84" s="121" t="s">
        <v>131</v>
      </c>
      <c r="B84" s="121"/>
      <c r="C84" s="121"/>
      <c r="D84" s="121"/>
      <c r="E84" s="121"/>
      <c r="F84" s="121"/>
      <c r="G84" s="121"/>
      <c r="H84" s="121"/>
    </row>
    <row r="85" spans="1:8">
      <c r="A85" s="121" t="s">
        <v>132</v>
      </c>
      <c r="B85" s="121"/>
      <c r="C85" s="121"/>
      <c r="D85" s="121"/>
      <c r="E85" s="121"/>
      <c r="F85" s="121"/>
      <c r="G85" s="121"/>
      <c r="H85" s="121"/>
    </row>
    <row r="86" spans="1:8">
      <c r="A86" s="4"/>
      <c r="B86" s="4"/>
      <c r="C86" s="34"/>
      <c r="D86" s="30"/>
      <c r="E86" s="34"/>
      <c r="F86" s="14"/>
      <c r="G86" s="4"/>
      <c r="H86" s="4"/>
    </row>
    <row r="87" spans="1:8">
      <c r="A87" s="4"/>
      <c r="B87" s="4"/>
      <c r="C87" s="34"/>
      <c r="D87" s="30"/>
      <c r="E87" s="34"/>
      <c r="F87" s="14"/>
      <c r="G87" s="4"/>
      <c r="H87" s="4"/>
    </row>
    <row r="88" spans="1:8">
      <c r="A88" s="4"/>
      <c r="B88" s="4"/>
      <c r="C88" s="34"/>
      <c r="D88" s="30"/>
      <c r="E88" s="34"/>
      <c r="F88" s="14"/>
      <c r="G88" s="4"/>
      <c r="H88" s="4"/>
    </row>
    <row r="89" spans="1:8">
      <c r="A89" s="33"/>
      <c r="B89" s="33"/>
      <c r="C89" s="23"/>
      <c r="D89" s="30"/>
      <c r="E89" s="34"/>
      <c r="F89" s="13"/>
      <c r="G89" s="33"/>
      <c r="H89" s="33"/>
    </row>
    <row r="90" spans="1:8">
      <c r="A90" s="123" t="s">
        <v>161</v>
      </c>
      <c r="B90" s="123"/>
      <c r="C90" s="123"/>
      <c r="D90" s="123"/>
      <c r="E90" s="123"/>
      <c r="F90" s="123"/>
      <c r="G90" s="123"/>
      <c r="H90" s="123"/>
    </row>
    <row r="91" spans="1:8">
      <c r="A91" s="121" t="s">
        <v>162</v>
      </c>
      <c r="B91" s="121"/>
      <c r="C91" s="121"/>
      <c r="D91" s="121"/>
      <c r="E91" s="121"/>
      <c r="F91" s="121"/>
      <c r="G91" s="121"/>
      <c r="H91" s="121"/>
    </row>
  </sheetData>
  <mergeCells count="81">
    <mergeCell ref="A90:H90"/>
    <mergeCell ref="A91:H91"/>
    <mergeCell ref="A81:C81"/>
    <mergeCell ref="E81:H81"/>
    <mergeCell ref="A82:C82"/>
    <mergeCell ref="E82:H82"/>
    <mergeCell ref="A84:H84"/>
    <mergeCell ref="A85:H85"/>
    <mergeCell ref="A77:C77"/>
    <mergeCell ref="E77:H77"/>
    <mergeCell ref="A64:B64"/>
    <mergeCell ref="A65:E65"/>
    <mergeCell ref="A66:H66"/>
    <mergeCell ref="A67:B67"/>
    <mergeCell ref="A68:B68"/>
    <mergeCell ref="A69:B69"/>
    <mergeCell ref="A70:E70"/>
    <mergeCell ref="A71:H71"/>
    <mergeCell ref="A72:E72"/>
    <mergeCell ref="A74:H74"/>
    <mergeCell ref="E76:H76"/>
    <mergeCell ref="A63:B63"/>
    <mergeCell ref="A52:B52"/>
    <mergeCell ref="A53:B53"/>
    <mergeCell ref="A54:B54"/>
    <mergeCell ref="A55:B55"/>
    <mergeCell ref="A56:B56"/>
    <mergeCell ref="A57:E57"/>
    <mergeCell ref="A58:H58"/>
    <mergeCell ref="A59:B59"/>
    <mergeCell ref="A60:B60"/>
    <mergeCell ref="A61:B61"/>
    <mergeCell ref="A62:B62"/>
    <mergeCell ref="A51:B51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39:B39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27:B27"/>
    <mergeCell ref="A16:H16"/>
    <mergeCell ref="A17:B17"/>
    <mergeCell ref="A18:B18"/>
    <mergeCell ref="A19:B19"/>
    <mergeCell ref="A20:E20"/>
    <mergeCell ref="A21:H21"/>
    <mergeCell ref="A22:B22"/>
    <mergeCell ref="A23:B23"/>
    <mergeCell ref="A24:B24"/>
    <mergeCell ref="A25:B25"/>
    <mergeCell ref="A26:B26"/>
    <mergeCell ref="A15:B15"/>
    <mergeCell ref="A1:H1"/>
    <mergeCell ref="A2:H2"/>
    <mergeCell ref="A3:H3"/>
    <mergeCell ref="A4:H4"/>
    <mergeCell ref="A5:H5"/>
    <mergeCell ref="A8:H8"/>
    <mergeCell ref="A9:H9"/>
    <mergeCell ref="A11:H11"/>
    <mergeCell ref="A12:H12"/>
    <mergeCell ref="A13:H13"/>
    <mergeCell ref="A14:B14"/>
  </mergeCells>
  <hyperlinks>
    <hyperlink ref="A5" r:id="rId1" display="mailto:dlhbanjarmasin@gmail.com"/>
  </hyperlinks>
  <pageMargins left="0.25" right="0.25" top="0.75" bottom="0.75" header="0.3" footer="0.3"/>
  <pageSetup paperSize="10000" scale="99" orientation="portrait" horizontalDpi="0" verticalDpi="0" r:id="rId2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91"/>
  <sheetViews>
    <sheetView view="pageBreakPreview" topLeftCell="A64" zoomScaleNormal="100" zoomScaleSheetLayoutView="100" workbookViewId="0">
      <selection activeCell="A14" sqref="A14:B14"/>
    </sheetView>
  </sheetViews>
  <sheetFormatPr defaultRowHeight="14.5"/>
  <cols>
    <col min="1" max="2" width="9.54296875" customWidth="1"/>
    <col min="3" max="3" width="31.26953125" customWidth="1"/>
    <col min="7" max="7" width="12.81640625" customWidth="1"/>
    <col min="8" max="8" width="14.90625" customWidth="1"/>
  </cols>
  <sheetData>
    <row r="1" spans="1:8" ht="17.5">
      <c r="A1" s="92" t="s">
        <v>0</v>
      </c>
      <c r="B1" s="92"/>
      <c r="C1" s="92"/>
      <c r="D1" s="92"/>
      <c r="E1" s="92"/>
      <c r="F1" s="92"/>
      <c r="G1" s="92"/>
      <c r="H1" s="92"/>
    </row>
    <row r="2" spans="1:8" ht="22">
      <c r="A2" s="93" t="s">
        <v>1</v>
      </c>
      <c r="B2" s="93"/>
      <c r="C2" s="93"/>
      <c r="D2" s="93"/>
      <c r="E2" s="93"/>
      <c r="F2" s="93"/>
      <c r="G2" s="93"/>
      <c r="H2" s="93"/>
    </row>
    <row r="3" spans="1:8">
      <c r="A3" s="94" t="s">
        <v>2</v>
      </c>
      <c r="B3" s="94"/>
      <c r="C3" s="94"/>
      <c r="D3" s="94"/>
      <c r="E3" s="94"/>
      <c r="F3" s="94"/>
      <c r="G3" s="94"/>
      <c r="H3" s="94"/>
    </row>
    <row r="4" spans="1:8">
      <c r="A4" s="94" t="s">
        <v>3</v>
      </c>
      <c r="B4" s="94"/>
      <c r="C4" s="94"/>
      <c r="D4" s="94"/>
      <c r="E4" s="94"/>
      <c r="F4" s="94"/>
      <c r="G4" s="94"/>
      <c r="H4" s="94"/>
    </row>
    <row r="5" spans="1:8">
      <c r="A5" s="95" t="s">
        <v>4</v>
      </c>
      <c r="B5" s="95"/>
      <c r="C5" s="95"/>
      <c r="D5" s="95"/>
      <c r="E5" s="95"/>
      <c r="F5" s="95"/>
      <c r="G5" s="95"/>
      <c r="H5" s="95"/>
    </row>
    <row r="6" spans="1:8" ht="15" thickBot="1">
      <c r="A6" s="7"/>
      <c r="B6" s="8"/>
      <c r="C6" s="9"/>
      <c r="D6" s="9"/>
      <c r="E6" s="9"/>
      <c r="F6" s="55"/>
      <c r="G6" s="8"/>
      <c r="H6" s="8"/>
    </row>
    <row r="7" spans="1:8" ht="15" thickTop="1">
      <c r="A7" s="10"/>
      <c r="B7" s="11"/>
      <c r="C7" s="6"/>
      <c r="D7" s="6"/>
      <c r="E7" s="6"/>
      <c r="F7" s="47"/>
      <c r="G7" s="11"/>
      <c r="H7" s="11"/>
    </row>
    <row r="8" spans="1:8">
      <c r="A8" s="96" t="s">
        <v>5</v>
      </c>
      <c r="B8" s="96"/>
      <c r="C8" s="96"/>
      <c r="D8" s="96"/>
      <c r="E8" s="96"/>
      <c r="F8" s="96"/>
      <c r="G8" s="96"/>
      <c r="H8" s="96"/>
    </row>
    <row r="9" spans="1:8">
      <c r="A9" s="97" t="s">
        <v>137</v>
      </c>
      <c r="B9" s="97"/>
      <c r="C9" s="97"/>
      <c r="D9" s="97"/>
      <c r="E9" s="97"/>
      <c r="F9" s="97"/>
      <c r="G9" s="97"/>
      <c r="H9" s="97"/>
    </row>
    <row r="10" spans="1:8">
      <c r="A10" s="12"/>
      <c r="B10" s="12"/>
      <c r="C10" s="13"/>
      <c r="D10" s="13"/>
      <c r="E10" s="14"/>
      <c r="F10" s="13"/>
      <c r="G10" s="12"/>
      <c r="H10" s="12"/>
    </row>
    <row r="11" spans="1:8">
      <c r="A11" s="98" t="s">
        <v>158</v>
      </c>
      <c r="B11" s="98"/>
      <c r="C11" s="98"/>
      <c r="D11" s="98"/>
      <c r="E11" s="98"/>
      <c r="F11" s="98"/>
      <c r="G11" s="98"/>
      <c r="H11" s="98"/>
    </row>
    <row r="12" spans="1:8">
      <c r="A12" s="99" t="s">
        <v>8</v>
      </c>
      <c r="B12" s="99"/>
      <c r="C12" s="99"/>
      <c r="D12" s="99"/>
      <c r="E12" s="99"/>
      <c r="F12" s="99"/>
      <c r="G12" s="99"/>
      <c r="H12" s="99"/>
    </row>
    <row r="13" spans="1:8">
      <c r="A13" s="100" t="s">
        <v>142</v>
      </c>
      <c r="B13" s="100"/>
      <c r="C13" s="100"/>
      <c r="D13" s="100"/>
      <c r="E13" s="100"/>
      <c r="F13" s="100"/>
      <c r="G13" s="100"/>
      <c r="H13" s="100"/>
    </row>
    <row r="14" spans="1:8" ht="34.5">
      <c r="A14" s="91" t="s">
        <v>10</v>
      </c>
      <c r="B14" s="91"/>
      <c r="C14" s="25" t="s">
        <v>11</v>
      </c>
      <c r="D14" s="19" t="s">
        <v>12</v>
      </c>
      <c r="E14" s="26" t="s">
        <v>13</v>
      </c>
      <c r="F14" s="41" t="s">
        <v>14</v>
      </c>
      <c r="G14" s="20" t="s">
        <v>15</v>
      </c>
      <c r="H14" s="20" t="s">
        <v>16</v>
      </c>
    </row>
    <row r="15" spans="1:8">
      <c r="A15" s="91">
        <v>1</v>
      </c>
      <c r="B15" s="91"/>
      <c r="C15" s="25">
        <v>2</v>
      </c>
      <c r="D15" s="25">
        <v>3</v>
      </c>
      <c r="E15" s="27">
        <v>4</v>
      </c>
      <c r="F15" s="41">
        <v>5</v>
      </c>
      <c r="G15" s="20">
        <v>6</v>
      </c>
      <c r="H15" s="20">
        <v>7</v>
      </c>
    </row>
    <row r="16" spans="1:8">
      <c r="A16" s="102" t="s">
        <v>17</v>
      </c>
      <c r="B16" s="102"/>
      <c r="C16" s="102"/>
      <c r="D16" s="102"/>
      <c r="E16" s="102"/>
      <c r="F16" s="102"/>
      <c r="G16" s="102"/>
      <c r="H16" s="102"/>
    </row>
    <row r="17" spans="1:8">
      <c r="A17" s="103" t="s">
        <v>18</v>
      </c>
      <c r="B17" s="103"/>
      <c r="C17" s="42" t="s">
        <v>19</v>
      </c>
      <c r="D17" s="45">
        <v>45</v>
      </c>
      <c r="E17" s="37" t="s">
        <v>20</v>
      </c>
      <c r="F17" s="52">
        <v>20</v>
      </c>
      <c r="G17" s="56">
        <v>25300</v>
      </c>
      <c r="H17" s="44">
        <v>506000</v>
      </c>
    </row>
    <row r="18" spans="1:8">
      <c r="A18" s="104" t="s">
        <v>21</v>
      </c>
      <c r="B18" s="105"/>
      <c r="C18" s="42" t="s">
        <v>22</v>
      </c>
      <c r="D18" s="43">
        <v>1000</v>
      </c>
      <c r="E18" s="37" t="s">
        <v>20</v>
      </c>
      <c r="F18" s="52">
        <v>500</v>
      </c>
      <c r="G18" s="56">
        <v>5000</v>
      </c>
      <c r="H18" s="44">
        <v>2500000</v>
      </c>
    </row>
    <row r="19" spans="1:8">
      <c r="A19" s="103" t="s">
        <v>23</v>
      </c>
      <c r="B19" s="103"/>
      <c r="C19" s="42" t="s">
        <v>24</v>
      </c>
      <c r="D19" s="43">
        <v>490</v>
      </c>
      <c r="E19" s="37" t="s">
        <v>20</v>
      </c>
      <c r="F19" s="52">
        <v>300</v>
      </c>
      <c r="G19" s="56">
        <v>5000</v>
      </c>
      <c r="H19" s="44">
        <v>1500000</v>
      </c>
    </row>
    <row r="20" spans="1:8">
      <c r="A20" s="106" t="s">
        <v>25</v>
      </c>
      <c r="B20" s="107"/>
      <c r="C20" s="107"/>
      <c r="D20" s="107"/>
      <c r="E20" s="108"/>
      <c r="F20" s="57">
        <v>820</v>
      </c>
      <c r="G20" s="58">
        <v>35300</v>
      </c>
      <c r="H20" s="51">
        <v>4506000</v>
      </c>
    </row>
    <row r="21" spans="1:8">
      <c r="A21" s="109" t="s">
        <v>26</v>
      </c>
      <c r="B21" s="109"/>
      <c r="C21" s="109"/>
      <c r="D21" s="109"/>
      <c r="E21" s="109"/>
      <c r="F21" s="110"/>
      <c r="G21" s="109"/>
      <c r="H21" s="109"/>
    </row>
    <row r="22" spans="1:8">
      <c r="A22" s="111" t="s">
        <v>27</v>
      </c>
      <c r="B22" s="111"/>
      <c r="C22" s="17" t="s">
        <v>28</v>
      </c>
      <c r="D22" s="5">
        <v>5</v>
      </c>
      <c r="E22" s="59" t="s">
        <v>29</v>
      </c>
      <c r="F22" s="60">
        <v>4</v>
      </c>
      <c r="G22" s="48">
        <v>31635</v>
      </c>
      <c r="H22" s="2">
        <v>126540</v>
      </c>
    </row>
    <row r="23" spans="1:8">
      <c r="A23" s="111" t="s">
        <v>30</v>
      </c>
      <c r="B23" s="111"/>
      <c r="C23" s="17" t="s">
        <v>31</v>
      </c>
      <c r="D23" s="5">
        <v>10</v>
      </c>
      <c r="E23" s="59" t="s">
        <v>29</v>
      </c>
      <c r="F23" s="60">
        <v>6</v>
      </c>
      <c r="G23" s="48">
        <v>22755</v>
      </c>
      <c r="H23" s="2">
        <v>136530</v>
      </c>
    </row>
    <row r="24" spans="1:8">
      <c r="A24" s="111" t="s">
        <v>32</v>
      </c>
      <c r="B24" s="111"/>
      <c r="C24" s="17" t="s">
        <v>33</v>
      </c>
      <c r="D24" s="5">
        <v>10</v>
      </c>
      <c r="E24" s="59" t="s">
        <v>29</v>
      </c>
      <c r="F24" s="60">
        <v>10</v>
      </c>
      <c r="G24" s="48">
        <v>42735</v>
      </c>
      <c r="H24" s="2">
        <v>427350</v>
      </c>
    </row>
    <row r="25" spans="1:8">
      <c r="A25" s="111" t="s">
        <v>34</v>
      </c>
      <c r="B25" s="111"/>
      <c r="C25" s="17" t="s">
        <v>35</v>
      </c>
      <c r="D25" s="5">
        <v>51</v>
      </c>
      <c r="E25" s="59" t="s">
        <v>36</v>
      </c>
      <c r="F25" s="60">
        <v>20</v>
      </c>
      <c r="G25" s="48">
        <v>4662</v>
      </c>
      <c r="H25" s="2">
        <v>93240</v>
      </c>
    </row>
    <row r="26" spans="1:8">
      <c r="A26" s="111" t="s">
        <v>37</v>
      </c>
      <c r="B26" s="111"/>
      <c r="C26" s="17" t="s">
        <v>38</v>
      </c>
      <c r="D26" s="5">
        <v>10</v>
      </c>
      <c r="E26" s="59" t="s">
        <v>39</v>
      </c>
      <c r="F26" s="60">
        <v>3</v>
      </c>
      <c r="G26" s="48">
        <v>22200</v>
      </c>
      <c r="H26" s="2">
        <v>66600</v>
      </c>
    </row>
    <row r="27" spans="1:8">
      <c r="A27" s="101" t="s">
        <v>40</v>
      </c>
      <c r="B27" s="101"/>
      <c r="C27" s="17" t="s">
        <v>41</v>
      </c>
      <c r="D27" s="5">
        <v>5</v>
      </c>
      <c r="E27" s="59" t="s">
        <v>39</v>
      </c>
      <c r="F27" s="60">
        <v>1</v>
      </c>
      <c r="G27" s="48">
        <v>115440</v>
      </c>
      <c r="H27" s="2">
        <v>115440</v>
      </c>
    </row>
    <row r="28" spans="1:8">
      <c r="A28" s="111" t="s">
        <v>42</v>
      </c>
      <c r="B28" s="111"/>
      <c r="C28" s="17" t="s">
        <v>43</v>
      </c>
      <c r="D28" s="5">
        <v>50</v>
      </c>
      <c r="E28" s="59" t="s">
        <v>29</v>
      </c>
      <c r="F28" s="60">
        <v>9</v>
      </c>
      <c r="G28" s="48">
        <v>29970</v>
      </c>
      <c r="H28" s="2">
        <v>269730</v>
      </c>
    </row>
    <row r="29" spans="1:8">
      <c r="A29" s="111" t="s">
        <v>44</v>
      </c>
      <c r="B29" s="111"/>
      <c r="C29" s="17" t="s">
        <v>45</v>
      </c>
      <c r="D29" s="5">
        <v>25</v>
      </c>
      <c r="E29" s="59" t="s">
        <v>29</v>
      </c>
      <c r="F29" s="60">
        <v>11</v>
      </c>
      <c r="G29" s="48">
        <v>5883</v>
      </c>
      <c r="H29" s="2">
        <v>64713</v>
      </c>
    </row>
    <row r="30" spans="1:8">
      <c r="A30" s="111" t="s">
        <v>46</v>
      </c>
      <c r="B30" s="111"/>
      <c r="C30" s="17" t="s">
        <v>47</v>
      </c>
      <c r="D30" s="5">
        <v>51</v>
      </c>
      <c r="E30" s="59" t="s">
        <v>36</v>
      </c>
      <c r="F30" s="60">
        <v>8</v>
      </c>
      <c r="G30" s="48">
        <v>5717</v>
      </c>
      <c r="H30" s="2">
        <v>45736</v>
      </c>
    </row>
    <row r="31" spans="1:8">
      <c r="A31" s="111" t="s">
        <v>48</v>
      </c>
      <c r="B31" s="111"/>
      <c r="C31" s="17" t="s">
        <v>49</v>
      </c>
      <c r="D31" s="5">
        <v>50</v>
      </c>
      <c r="E31" s="59" t="s">
        <v>29</v>
      </c>
      <c r="F31" s="60">
        <v>48</v>
      </c>
      <c r="G31" s="48">
        <v>46898</v>
      </c>
      <c r="H31" s="2">
        <v>2251104</v>
      </c>
    </row>
    <row r="32" spans="1:8">
      <c r="A32" s="111" t="s">
        <v>50</v>
      </c>
      <c r="B32" s="111"/>
      <c r="C32" s="17" t="s">
        <v>51</v>
      </c>
      <c r="D32" s="5">
        <v>50</v>
      </c>
      <c r="E32" s="59" t="s">
        <v>36</v>
      </c>
      <c r="F32" s="60">
        <v>38</v>
      </c>
      <c r="G32" s="48">
        <v>11100</v>
      </c>
      <c r="H32" s="2">
        <v>421800</v>
      </c>
    </row>
    <row r="33" spans="1:8">
      <c r="A33" s="111" t="s">
        <v>52</v>
      </c>
      <c r="B33" s="111"/>
      <c r="C33" s="17" t="s">
        <v>53</v>
      </c>
      <c r="D33" s="5">
        <v>10</v>
      </c>
      <c r="E33" s="59" t="s">
        <v>29</v>
      </c>
      <c r="F33" s="60">
        <v>8</v>
      </c>
      <c r="G33" s="48">
        <v>23310</v>
      </c>
      <c r="H33" s="2">
        <v>186480</v>
      </c>
    </row>
    <row r="34" spans="1:8">
      <c r="A34" s="111" t="s">
        <v>54</v>
      </c>
      <c r="B34" s="111"/>
      <c r="C34" s="17" t="s">
        <v>55</v>
      </c>
      <c r="D34" s="5">
        <v>3</v>
      </c>
      <c r="E34" s="59" t="s">
        <v>29</v>
      </c>
      <c r="F34" s="60">
        <v>3</v>
      </c>
      <c r="G34" s="48">
        <v>13320</v>
      </c>
      <c r="H34" s="2">
        <v>39960</v>
      </c>
    </row>
    <row r="35" spans="1:8">
      <c r="A35" s="111" t="s">
        <v>56</v>
      </c>
      <c r="B35" s="111"/>
      <c r="C35" s="17" t="s">
        <v>57</v>
      </c>
      <c r="D35" s="5">
        <v>25</v>
      </c>
      <c r="E35" s="59" t="s">
        <v>36</v>
      </c>
      <c r="F35" s="60">
        <v>3</v>
      </c>
      <c r="G35" s="48">
        <v>28860</v>
      </c>
      <c r="H35" s="2">
        <v>86580</v>
      </c>
    </row>
    <row r="36" spans="1:8">
      <c r="A36" s="111" t="s">
        <v>58</v>
      </c>
      <c r="B36" s="111"/>
      <c r="C36" s="17" t="s">
        <v>59</v>
      </c>
      <c r="D36" s="5">
        <v>25</v>
      </c>
      <c r="E36" s="59" t="s">
        <v>36</v>
      </c>
      <c r="F36" s="60">
        <v>5</v>
      </c>
      <c r="G36" s="48">
        <v>19148</v>
      </c>
      <c r="H36" s="2">
        <v>95740</v>
      </c>
    </row>
    <row r="37" spans="1:8">
      <c r="A37" s="111" t="s">
        <v>60</v>
      </c>
      <c r="B37" s="111"/>
      <c r="C37" s="17" t="s">
        <v>61</v>
      </c>
      <c r="D37" s="5">
        <v>59</v>
      </c>
      <c r="E37" s="59" t="s">
        <v>36</v>
      </c>
      <c r="F37" s="60">
        <v>18</v>
      </c>
      <c r="G37" s="48">
        <v>4662</v>
      </c>
      <c r="H37" s="2">
        <v>83916</v>
      </c>
    </row>
    <row r="38" spans="1:8">
      <c r="A38" s="111" t="s">
        <v>62</v>
      </c>
      <c r="B38" s="111"/>
      <c r="C38" s="17" t="s">
        <v>63</v>
      </c>
      <c r="D38" s="5">
        <v>24</v>
      </c>
      <c r="E38" s="59" t="s">
        <v>36</v>
      </c>
      <c r="F38" s="60">
        <v>1</v>
      </c>
      <c r="G38" s="48">
        <v>5550</v>
      </c>
      <c r="H38" s="2">
        <v>5550</v>
      </c>
    </row>
    <row r="39" spans="1:8">
      <c r="A39" s="114" t="s">
        <v>64</v>
      </c>
      <c r="B39" s="114"/>
      <c r="C39" s="54" t="s">
        <v>65</v>
      </c>
      <c r="D39" s="5">
        <v>25</v>
      </c>
      <c r="E39" s="59" t="s">
        <v>36</v>
      </c>
      <c r="F39" s="62">
        <v>3</v>
      </c>
      <c r="G39" s="48">
        <v>13154</v>
      </c>
      <c r="H39" s="2">
        <v>39462</v>
      </c>
    </row>
    <row r="40" spans="1:8">
      <c r="A40" s="115" t="s">
        <v>66</v>
      </c>
      <c r="B40" s="116"/>
      <c r="C40" s="50" t="s">
        <v>67</v>
      </c>
      <c r="D40" s="5">
        <v>26</v>
      </c>
      <c r="E40" s="59" t="s">
        <v>36</v>
      </c>
      <c r="F40" s="62">
        <v>12</v>
      </c>
      <c r="G40" s="48">
        <v>10545</v>
      </c>
      <c r="H40" s="2">
        <v>126540</v>
      </c>
    </row>
    <row r="41" spans="1:8">
      <c r="A41" s="111" t="s">
        <v>68</v>
      </c>
      <c r="B41" s="111"/>
      <c r="C41" s="17" t="s">
        <v>69</v>
      </c>
      <c r="D41" s="5">
        <v>12</v>
      </c>
      <c r="E41" s="59" t="s">
        <v>29</v>
      </c>
      <c r="F41" s="60">
        <v>4</v>
      </c>
      <c r="G41" s="48">
        <v>11100</v>
      </c>
      <c r="H41" s="2">
        <v>44400</v>
      </c>
    </row>
    <row r="42" spans="1:8">
      <c r="A42" s="112" t="s">
        <v>70</v>
      </c>
      <c r="B42" s="113"/>
      <c r="C42" s="49" t="s">
        <v>71</v>
      </c>
      <c r="D42" s="5">
        <v>12</v>
      </c>
      <c r="E42" s="59" t="s">
        <v>29</v>
      </c>
      <c r="F42" s="60">
        <v>2</v>
      </c>
      <c r="G42" s="48">
        <v>12210</v>
      </c>
      <c r="H42" s="2">
        <v>24420</v>
      </c>
    </row>
    <row r="43" spans="1:8">
      <c r="A43" s="111" t="s">
        <v>72</v>
      </c>
      <c r="B43" s="111"/>
      <c r="C43" s="17" t="s">
        <v>73</v>
      </c>
      <c r="D43" s="5">
        <v>24</v>
      </c>
      <c r="E43" s="59" t="s">
        <v>29</v>
      </c>
      <c r="F43" s="60">
        <v>6</v>
      </c>
      <c r="G43" s="48">
        <v>11655</v>
      </c>
      <c r="H43" s="2">
        <v>69930</v>
      </c>
    </row>
    <row r="44" spans="1:8">
      <c r="A44" s="111" t="s">
        <v>74</v>
      </c>
      <c r="B44" s="111"/>
      <c r="C44" s="17" t="s">
        <v>75</v>
      </c>
      <c r="D44" s="5">
        <v>50</v>
      </c>
      <c r="E44" s="59" t="s">
        <v>29</v>
      </c>
      <c r="F44" s="60">
        <v>30</v>
      </c>
      <c r="G44" s="48">
        <v>22200</v>
      </c>
      <c r="H44" s="2">
        <v>666000</v>
      </c>
    </row>
    <row r="45" spans="1:8">
      <c r="A45" s="112" t="s">
        <v>76</v>
      </c>
      <c r="B45" s="113"/>
      <c r="C45" s="49" t="s">
        <v>77</v>
      </c>
      <c r="D45" s="5">
        <v>21</v>
      </c>
      <c r="E45" s="59" t="s">
        <v>29</v>
      </c>
      <c r="F45" s="60">
        <v>11</v>
      </c>
      <c r="G45" s="48">
        <v>35798</v>
      </c>
      <c r="H45" s="2">
        <v>393778</v>
      </c>
    </row>
    <row r="46" spans="1:8">
      <c r="A46" s="111" t="s">
        <v>78</v>
      </c>
      <c r="B46" s="111"/>
      <c r="C46" s="17" t="s">
        <v>79</v>
      </c>
      <c r="D46" s="5">
        <v>100</v>
      </c>
      <c r="E46" s="59" t="s">
        <v>80</v>
      </c>
      <c r="F46" s="60">
        <v>70</v>
      </c>
      <c r="G46" s="48">
        <v>46065</v>
      </c>
      <c r="H46" s="2">
        <v>3224550</v>
      </c>
    </row>
    <row r="47" spans="1:8">
      <c r="A47" s="111" t="s">
        <v>81</v>
      </c>
      <c r="B47" s="111"/>
      <c r="C47" s="49" t="s">
        <v>82</v>
      </c>
      <c r="D47" s="5">
        <v>11</v>
      </c>
      <c r="E47" s="59" t="s">
        <v>29</v>
      </c>
      <c r="F47" s="62">
        <v>5</v>
      </c>
      <c r="G47" s="48">
        <v>10545</v>
      </c>
      <c r="H47" s="2">
        <v>52725</v>
      </c>
    </row>
    <row r="48" spans="1:8">
      <c r="A48" s="111" t="s">
        <v>83</v>
      </c>
      <c r="B48" s="111"/>
      <c r="C48" s="17" t="s">
        <v>84</v>
      </c>
      <c r="D48" s="5">
        <v>100</v>
      </c>
      <c r="E48" s="59" t="s">
        <v>36</v>
      </c>
      <c r="F48" s="60">
        <v>100</v>
      </c>
      <c r="G48" s="2">
        <v>4125</v>
      </c>
      <c r="H48" s="2">
        <v>412500</v>
      </c>
    </row>
    <row r="49" spans="1:8">
      <c r="A49" s="111" t="s">
        <v>85</v>
      </c>
      <c r="B49" s="111"/>
      <c r="C49" s="17" t="s">
        <v>86</v>
      </c>
      <c r="D49" s="5">
        <v>160</v>
      </c>
      <c r="E49" s="59" t="s">
        <v>36</v>
      </c>
      <c r="F49" s="60">
        <v>160</v>
      </c>
      <c r="G49" s="61">
        <v>85000</v>
      </c>
      <c r="H49" s="2">
        <v>13600000</v>
      </c>
    </row>
    <row r="50" spans="1:8">
      <c r="A50" s="111" t="s">
        <v>87</v>
      </c>
      <c r="B50" s="111"/>
      <c r="C50" s="17" t="s">
        <v>88</v>
      </c>
      <c r="D50" s="5">
        <v>25</v>
      </c>
      <c r="E50" s="59" t="s">
        <v>36</v>
      </c>
      <c r="F50" s="60">
        <v>500</v>
      </c>
      <c r="G50" s="48">
        <v>23310</v>
      </c>
      <c r="H50" s="2">
        <v>11655000</v>
      </c>
    </row>
    <row r="51" spans="1:8">
      <c r="A51" s="115" t="s">
        <v>89</v>
      </c>
      <c r="B51" s="116"/>
      <c r="C51" s="50" t="s">
        <v>90</v>
      </c>
      <c r="D51" s="5">
        <v>10</v>
      </c>
      <c r="E51" s="59" t="s">
        <v>29</v>
      </c>
      <c r="F51" s="63">
        <v>2</v>
      </c>
      <c r="G51" s="48">
        <v>57720</v>
      </c>
      <c r="H51" s="2">
        <v>115440</v>
      </c>
    </row>
    <row r="52" spans="1:8">
      <c r="A52" s="111" t="s">
        <v>91</v>
      </c>
      <c r="B52" s="111"/>
      <c r="C52" s="17" t="s">
        <v>92</v>
      </c>
      <c r="D52" s="5">
        <v>10</v>
      </c>
      <c r="E52" s="59" t="s">
        <v>29</v>
      </c>
      <c r="F52" s="60">
        <v>5</v>
      </c>
      <c r="G52" s="48">
        <v>4662</v>
      </c>
      <c r="H52" s="2">
        <v>23310</v>
      </c>
    </row>
    <row r="53" spans="1:8">
      <c r="A53" s="111" t="s">
        <v>93</v>
      </c>
      <c r="B53" s="111"/>
      <c r="C53" s="17" t="s">
        <v>94</v>
      </c>
      <c r="D53" s="5">
        <v>5</v>
      </c>
      <c r="E53" s="59" t="s">
        <v>29</v>
      </c>
      <c r="F53" s="60">
        <v>3</v>
      </c>
      <c r="G53" s="48">
        <v>17594</v>
      </c>
      <c r="H53" s="2">
        <v>52782</v>
      </c>
    </row>
    <row r="54" spans="1:8">
      <c r="A54" s="111" t="s">
        <v>95</v>
      </c>
      <c r="B54" s="111"/>
      <c r="C54" s="17" t="s">
        <v>96</v>
      </c>
      <c r="D54" s="5">
        <v>14</v>
      </c>
      <c r="E54" s="59" t="s">
        <v>29</v>
      </c>
      <c r="F54" s="60">
        <v>5</v>
      </c>
      <c r="G54" s="48">
        <v>18870</v>
      </c>
      <c r="H54" s="2">
        <v>94350</v>
      </c>
    </row>
    <row r="55" spans="1:8">
      <c r="A55" s="111" t="s">
        <v>97</v>
      </c>
      <c r="B55" s="111"/>
      <c r="C55" s="17" t="s">
        <v>98</v>
      </c>
      <c r="D55" s="5">
        <v>12</v>
      </c>
      <c r="E55" s="59" t="s">
        <v>29</v>
      </c>
      <c r="F55" s="60">
        <v>4</v>
      </c>
      <c r="G55" s="48">
        <v>23310</v>
      </c>
      <c r="H55" s="2">
        <v>93240</v>
      </c>
    </row>
    <row r="56" spans="1:8">
      <c r="A56" s="111" t="s">
        <v>99</v>
      </c>
      <c r="B56" s="111"/>
      <c r="C56" s="17" t="s">
        <v>100</v>
      </c>
      <c r="D56" s="5">
        <v>50</v>
      </c>
      <c r="E56" s="59" t="s">
        <v>80</v>
      </c>
      <c r="F56" s="60">
        <v>50</v>
      </c>
      <c r="G56" s="65">
        <v>50505</v>
      </c>
      <c r="H56" s="2">
        <v>2525250</v>
      </c>
    </row>
    <row r="57" spans="1:8">
      <c r="A57" s="117" t="s">
        <v>25</v>
      </c>
      <c r="B57" s="117"/>
      <c r="C57" s="117"/>
      <c r="D57" s="117"/>
      <c r="E57" s="117"/>
      <c r="F57" s="64">
        <v>1168</v>
      </c>
      <c r="G57" s="3">
        <v>892213</v>
      </c>
      <c r="H57" s="3">
        <v>37730686</v>
      </c>
    </row>
    <row r="58" spans="1:8">
      <c r="A58" s="109" t="s">
        <v>101</v>
      </c>
      <c r="B58" s="109"/>
      <c r="C58" s="109"/>
      <c r="D58" s="109"/>
      <c r="E58" s="109"/>
      <c r="F58" s="110"/>
      <c r="G58" s="109"/>
      <c r="H58" s="109"/>
    </row>
    <row r="59" spans="1:8">
      <c r="A59" s="111" t="s">
        <v>102</v>
      </c>
      <c r="B59" s="111"/>
      <c r="C59" s="17" t="s">
        <v>103</v>
      </c>
      <c r="D59" s="5">
        <v>10</v>
      </c>
      <c r="E59" s="59" t="s">
        <v>36</v>
      </c>
      <c r="F59" s="62">
        <v>3</v>
      </c>
      <c r="G59" s="65">
        <v>23255</v>
      </c>
      <c r="H59" s="2">
        <v>69765</v>
      </c>
    </row>
    <row r="60" spans="1:8">
      <c r="A60" s="111" t="s">
        <v>104</v>
      </c>
      <c r="B60" s="111"/>
      <c r="C60" s="17" t="s">
        <v>105</v>
      </c>
      <c r="D60" s="5">
        <v>11</v>
      </c>
      <c r="E60" s="59" t="s">
        <v>36</v>
      </c>
      <c r="F60" s="62">
        <v>4</v>
      </c>
      <c r="G60" s="65">
        <v>25086</v>
      </c>
      <c r="H60" s="2">
        <v>100344</v>
      </c>
    </row>
    <row r="61" spans="1:8">
      <c r="A61" s="111" t="s">
        <v>106</v>
      </c>
      <c r="B61" s="111"/>
      <c r="C61" s="17" t="s">
        <v>107</v>
      </c>
      <c r="D61" s="5">
        <v>10</v>
      </c>
      <c r="E61" s="59" t="s">
        <v>36</v>
      </c>
      <c r="F61" s="60">
        <v>4</v>
      </c>
      <c r="G61" s="65">
        <v>24032</v>
      </c>
      <c r="H61" s="2">
        <v>96128</v>
      </c>
    </row>
    <row r="62" spans="1:8">
      <c r="A62" s="119" t="s">
        <v>108</v>
      </c>
      <c r="B62" s="119"/>
      <c r="C62" s="17" t="s">
        <v>109</v>
      </c>
      <c r="D62" s="5">
        <v>5</v>
      </c>
      <c r="E62" s="59" t="s">
        <v>110</v>
      </c>
      <c r="F62" s="60">
        <v>5</v>
      </c>
      <c r="G62" s="66">
        <v>124459</v>
      </c>
      <c r="H62" s="2">
        <v>622295</v>
      </c>
    </row>
    <row r="63" spans="1:8">
      <c r="A63" s="112" t="s">
        <v>111</v>
      </c>
      <c r="B63" s="113"/>
      <c r="C63" s="17" t="s">
        <v>112</v>
      </c>
      <c r="D63" s="5">
        <v>10</v>
      </c>
      <c r="E63" s="59" t="s">
        <v>110</v>
      </c>
      <c r="F63" s="60">
        <v>4</v>
      </c>
      <c r="G63" s="65">
        <v>73538</v>
      </c>
      <c r="H63" s="2">
        <v>294152</v>
      </c>
    </row>
    <row r="64" spans="1:8">
      <c r="A64" s="111" t="s">
        <v>113</v>
      </c>
      <c r="B64" s="111"/>
      <c r="C64" s="17" t="s">
        <v>114</v>
      </c>
      <c r="D64" s="5">
        <v>453</v>
      </c>
      <c r="E64" s="59" t="s">
        <v>110</v>
      </c>
      <c r="F64" s="60">
        <v>50</v>
      </c>
      <c r="G64" s="66">
        <v>70000</v>
      </c>
      <c r="H64" s="2">
        <v>3500000</v>
      </c>
    </row>
    <row r="65" spans="1:8">
      <c r="A65" s="117" t="s">
        <v>25</v>
      </c>
      <c r="B65" s="117"/>
      <c r="C65" s="117"/>
      <c r="D65" s="117"/>
      <c r="E65" s="117"/>
      <c r="F65" s="64">
        <v>70</v>
      </c>
      <c r="G65" s="3">
        <v>340370</v>
      </c>
      <c r="H65" s="3">
        <v>4682684</v>
      </c>
    </row>
    <row r="66" spans="1:8">
      <c r="A66" s="118" t="s">
        <v>115</v>
      </c>
      <c r="B66" s="118"/>
      <c r="C66" s="118"/>
      <c r="D66" s="118"/>
      <c r="E66" s="118"/>
      <c r="F66" s="118"/>
      <c r="G66" s="118"/>
      <c r="H66" s="118"/>
    </row>
    <row r="67" spans="1:8">
      <c r="A67" s="120" t="s">
        <v>116</v>
      </c>
      <c r="B67" s="120"/>
      <c r="C67" s="35" t="s">
        <v>117</v>
      </c>
      <c r="D67" s="36">
        <v>11</v>
      </c>
      <c r="E67" s="37" t="s">
        <v>39</v>
      </c>
      <c r="F67" s="53">
        <v>9</v>
      </c>
      <c r="G67" s="38">
        <v>191250</v>
      </c>
      <c r="H67" s="38">
        <v>1721250</v>
      </c>
    </row>
    <row r="68" spans="1:8">
      <c r="A68" s="103" t="s">
        <v>118</v>
      </c>
      <c r="B68" s="103"/>
      <c r="C68" s="35" t="s">
        <v>119</v>
      </c>
      <c r="D68" s="36">
        <v>11</v>
      </c>
      <c r="E68" s="37" t="s">
        <v>29</v>
      </c>
      <c r="F68" s="53">
        <v>9</v>
      </c>
      <c r="G68" s="38">
        <v>188750</v>
      </c>
      <c r="H68" s="38">
        <v>1698750</v>
      </c>
    </row>
    <row r="69" spans="1:8">
      <c r="A69" s="104" t="s">
        <v>120</v>
      </c>
      <c r="B69" s="105"/>
      <c r="C69" s="35" t="s">
        <v>121</v>
      </c>
      <c r="D69" s="36"/>
      <c r="E69" s="37" t="s">
        <v>29</v>
      </c>
      <c r="F69" s="36">
        <v>900</v>
      </c>
      <c r="G69" s="38">
        <v>177000.6</v>
      </c>
      <c r="H69" s="38">
        <v>159300540</v>
      </c>
    </row>
    <row r="70" spans="1:8">
      <c r="A70" s="117" t="s">
        <v>25</v>
      </c>
      <c r="B70" s="117"/>
      <c r="C70" s="117"/>
      <c r="D70" s="117"/>
      <c r="E70" s="117"/>
      <c r="F70" s="39">
        <v>918</v>
      </c>
      <c r="G70" s="3">
        <v>557000.6</v>
      </c>
      <c r="H70" s="3">
        <v>162720540</v>
      </c>
    </row>
    <row r="71" spans="1:8">
      <c r="A71" s="122" t="s">
        <v>122</v>
      </c>
      <c r="B71" s="122"/>
      <c r="C71" s="122"/>
      <c r="D71" s="122"/>
      <c r="E71" s="122"/>
      <c r="F71" s="122"/>
      <c r="G71" s="122"/>
      <c r="H71" s="122"/>
    </row>
    <row r="72" spans="1:8">
      <c r="A72" s="117" t="s">
        <v>25</v>
      </c>
      <c r="B72" s="117"/>
      <c r="C72" s="117"/>
      <c r="D72" s="117"/>
      <c r="E72" s="117"/>
      <c r="F72" s="40">
        <v>2976</v>
      </c>
      <c r="G72" s="3">
        <v>1824883.6</v>
      </c>
      <c r="H72" s="3">
        <v>209639910</v>
      </c>
    </row>
    <row r="73" spans="1:8">
      <c r="A73" s="46"/>
      <c r="B73" s="46"/>
      <c r="C73" s="30"/>
      <c r="D73" s="30"/>
      <c r="E73" s="32"/>
      <c r="F73" s="21"/>
      <c r="G73" s="31"/>
      <c r="H73" s="31"/>
    </row>
    <row r="74" spans="1:8">
      <c r="A74" s="99" t="s">
        <v>123</v>
      </c>
      <c r="B74" s="99"/>
      <c r="C74" s="99"/>
      <c r="D74" s="99"/>
      <c r="E74" s="99"/>
      <c r="F74" s="99"/>
      <c r="G74" s="99"/>
      <c r="H74" s="99"/>
    </row>
    <row r="75" spans="1:8">
      <c r="A75" s="15"/>
      <c r="B75" s="15"/>
      <c r="C75" s="16"/>
      <c r="D75" s="21"/>
      <c r="E75" s="16"/>
      <c r="F75" s="16"/>
      <c r="G75" s="15"/>
      <c r="H75" s="15"/>
    </row>
    <row r="76" spans="1:8">
      <c r="A76" s="33"/>
      <c r="B76" s="33"/>
      <c r="C76" s="23"/>
      <c r="D76" s="30"/>
      <c r="E76" s="121" t="s">
        <v>159</v>
      </c>
      <c r="F76" s="121"/>
      <c r="G76" s="121"/>
      <c r="H76" s="121"/>
    </row>
    <row r="77" spans="1:8">
      <c r="A77" s="121" t="s">
        <v>163</v>
      </c>
      <c r="B77" s="121"/>
      <c r="C77" s="121"/>
      <c r="D77" s="30"/>
      <c r="E77" s="121" t="s">
        <v>126</v>
      </c>
      <c r="F77" s="121"/>
      <c r="G77" s="121"/>
      <c r="H77" s="121"/>
    </row>
    <row r="78" spans="1:8">
      <c r="A78" s="18"/>
      <c r="B78" s="18"/>
      <c r="C78" s="22"/>
      <c r="D78" s="30"/>
      <c r="E78" s="34"/>
      <c r="F78" s="14"/>
      <c r="G78" s="4"/>
      <c r="H78" s="4"/>
    </row>
    <row r="79" spans="1:8">
      <c r="A79" s="18"/>
      <c r="B79" s="18"/>
      <c r="C79" s="22"/>
      <c r="D79" s="30"/>
      <c r="E79" s="34"/>
      <c r="F79" s="14"/>
      <c r="G79" s="4"/>
      <c r="H79" s="4"/>
    </row>
    <row r="80" spans="1:8">
      <c r="A80" s="18"/>
      <c r="B80" s="18"/>
      <c r="C80" s="22"/>
      <c r="D80" s="30"/>
      <c r="E80" s="34"/>
      <c r="F80" s="14"/>
      <c r="G80" s="4"/>
      <c r="H80" s="4"/>
    </row>
    <row r="81" spans="1:8">
      <c r="A81" s="123" t="s">
        <v>165</v>
      </c>
      <c r="B81" s="123"/>
      <c r="C81" s="123"/>
      <c r="D81" s="30"/>
      <c r="E81" s="123" t="s">
        <v>128</v>
      </c>
      <c r="F81" s="123"/>
      <c r="G81" s="123"/>
      <c r="H81" s="123"/>
    </row>
    <row r="82" spans="1:8">
      <c r="A82" s="121" t="s">
        <v>164</v>
      </c>
      <c r="B82" s="121"/>
      <c r="C82" s="121"/>
      <c r="D82" s="30"/>
      <c r="E82" s="121" t="s">
        <v>130</v>
      </c>
      <c r="F82" s="121"/>
      <c r="G82" s="121"/>
      <c r="H82" s="121"/>
    </row>
    <row r="83" spans="1:8">
      <c r="A83" s="33"/>
      <c r="B83" s="33"/>
      <c r="C83" s="23"/>
      <c r="D83" s="30"/>
      <c r="E83" s="34"/>
      <c r="F83" s="14"/>
      <c r="G83" s="4"/>
      <c r="H83" s="33"/>
    </row>
    <row r="84" spans="1:8">
      <c r="A84" s="121" t="s">
        <v>131</v>
      </c>
      <c r="B84" s="121"/>
      <c r="C84" s="121"/>
      <c r="D84" s="121"/>
      <c r="E84" s="121"/>
      <c r="F84" s="121"/>
      <c r="G84" s="121"/>
      <c r="H84" s="121"/>
    </row>
    <row r="85" spans="1:8">
      <c r="A85" s="121" t="s">
        <v>132</v>
      </c>
      <c r="B85" s="121"/>
      <c r="C85" s="121"/>
      <c r="D85" s="121"/>
      <c r="E85" s="121"/>
      <c r="F85" s="121"/>
      <c r="G85" s="121"/>
      <c r="H85" s="121"/>
    </row>
    <row r="86" spans="1:8">
      <c r="A86" s="4"/>
      <c r="B86" s="4"/>
      <c r="C86" s="34"/>
      <c r="D86" s="30"/>
      <c r="E86" s="34"/>
      <c r="F86" s="14"/>
      <c r="G86" s="4"/>
      <c r="H86" s="4"/>
    </row>
    <row r="87" spans="1:8">
      <c r="A87" s="4"/>
      <c r="B87" s="4"/>
      <c r="C87" s="34"/>
      <c r="D87" s="30"/>
      <c r="E87" s="34"/>
      <c r="F87" s="14"/>
      <c r="G87" s="4"/>
      <c r="H87" s="4"/>
    </row>
    <row r="88" spans="1:8">
      <c r="A88" s="4"/>
      <c r="B88" s="4"/>
      <c r="C88" s="34"/>
      <c r="D88" s="30"/>
      <c r="E88" s="34"/>
      <c r="F88" s="14"/>
      <c r="G88" s="4"/>
      <c r="H88" s="4"/>
    </row>
    <row r="89" spans="1:8">
      <c r="A89" s="33"/>
      <c r="B89" s="33"/>
      <c r="C89" s="23"/>
      <c r="D89" s="30"/>
      <c r="E89" s="34"/>
      <c r="F89" s="13"/>
      <c r="G89" s="33"/>
      <c r="H89" s="33"/>
    </row>
    <row r="90" spans="1:8">
      <c r="A90" s="123" t="s">
        <v>161</v>
      </c>
      <c r="B90" s="123"/>
      <c r="C90" s="123"/>
      <c r="D90" s="123"/>
      <c r="E90" s="123"/>
      <c r="F90" s="123"/>
      <c r="G90" s="123"/>
      <c r="H90" s="123"/>
    </row>
    <row r="91" spans="1:8">
      <c r="A91" s="121" t="s">
        <v>162</v>
      </c>
      <c r="B91" s="121"/>
      <c r="C91" s="121"/>
      <c r="D91" s="121"/>
      <c r="E91" s="121"/>
      <c r="F91" s="121"/>
      <c r="G91" s="121"/>
      <c r="H91" s="121"/>
    </row>
  </sheetData>
  <mergeCells count="81">
    <mergeCell ref="A90:H90"/>
    <mergeCell ref="A91:H91"/>
    <mergeCell ref="A81:C81"/>
    <mergeCell ref="E81:H81"/>
    <mergeCell ref="A82:C82"/>
    <mergeCell ref="E82:H82"/>
    <mergeCell ref="A84:H84"/>
    <mergeCell ref="A85:H85"/>
    <mergeCell ref="A77:C77"/>
    <mergeCell ref="E77:H77"/>
    <mergeCell ref="A64:B64"/>
    <mergeCell ref="A65:E65"/>
    <mergeCell ref="A66:H66"/>
    <mergeCell ref="A67:B67"/>
    <mergeCell ref="A68:B68"/>
    <mergeCell ref="A69:B69"/>
    <mergeCell ref="A70:E70"/>
    <mergeCell ref="A71:H71"/>
    <mergeCell ref="A72:E72"/>
    <mergeCell ref="A74:H74"/>
    <mergeCell ref="E76:H76"/>
    <mergeCell ref="A63:B63"/>
    <mergeCell ref="A52:B52"/>
    <mergeCell ref="A53:B53"/>
    <mergeCell ref="A54:B54"/>
    <mergeCell ref="A55:B55"/>
    <mergeCell ref="A56:B56"/>
    <mergeCell ref="A57:E57"/>
    <mergeCell ref="A58:H58"/>
    <mergeCell ref="A59:B59"/>
    <mergeCell ref="A60:B60"/>
    <mergeCell ref="A61:B61"/>
    <mergeCell ref="A62:B62"/>
    <mergeCell ref="A51:B51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39:B39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27:B27"/>
    <mergeCell ref="A16:H16"/>
    <mergeCell ref="A17:B17"/>
    <mergeCell ref="A18:B18"/>
    <mergeCell ref="A19:B19"/>
    <mergeCell ref="A20:E20"/>
    <mergeCell ref="A21:H21"/>
    <mergeCell ref="A22:B22"/>
    <mergeCell ref="A23:B23"/>
    <mergeCell ref="A24:B24"/>
    <mergeCell ref="A25:B25"/>
    <mergeCell ref="A26:B26"/>
    <mergeCell ref="A15:B15"/>
    <mergeCell ref="A1:H1"/>
    <mergeCell ref="A2:H2"/>
    <mergeCell ref="A3:H3"/>
    <mergeCell ref="A4:H4"/>
    <mergeCell ref="A5:H5"/>
    <mergeCell ref="A8:H8"/>
    <mergeCell ref="A9:H9"/>
    <mergeCell ref="A11:H11"/>
    <mergeCell ref="A12:H12"/>
    <mergeCell ref="A13:H13"/>
    <mergeCell ref="A14:B14"/>
  </mergeCells>
  <hyperlinks>
    <hyperlink ref="A5" r:id="rId1" display="mailto:dlhbanjarmasin@gmail.com"/>
  </hyperlinks>
  <pageMargins left="0.25" right="0.25" top="0.75" bottom="0.75" header="0.3" footer="0.3"/>
  <pageSetup paperSize="10000" scale="98" orientation="portrait" horizontalDpi="0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SALDO AWAL</vt:lpstr>
      <vt:lpstr>JANUARI</vt:lpstr>
      <vt:lpstr>FEBRUARI</vt:lpstr>
      <vt:lpstr>MARET</vt:lpstr>
      <vt:lpstr>APRIL</vt:lpstr>
      <vt:lpstr>MEI</vt:lpstr>
      <vt:lpstr>JUNI</vt:lpstr>
      <vt:lpstr>JULI</vt:lpstr>
      <vt:lpstr>AGUSTUS</vt:lpstr>
      <vt:lpstr>SEPTEMBER</vt:lpstr>
      <vt:lpstr>OKTOBER</vt:lpstr>
      <vt:lpstr>NOVEMBER</vt:lpstr>
      <vt:lpstr>DESEMBER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Axio</dc:creator>
  <cp:lastModifiedBy>Axio</cp:lastModifiedBy>
  <cp:lastPrinted>2026-08-31T02:39:47Z</cp:lastPrinted>
  <dcterms:created xsi:type="dcterms:W3CDTF">2026-08-16T04:24:58Z</dcterms:created>
  <dcterms:modified xsi:type="dcterms:W3CDTF">2026-08-31T04:34:44Z</dcterms:modified>
</cp:coreProperties>
</file>